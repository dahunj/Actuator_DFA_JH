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M:\기술3팀\0.임시\0 생산기술팀 공용폴더\0 생산기술팀 공용폴더\(공정) 5. AVI\5. 업무 진행 및 관리 폴더\1. 작업 진행\36. 스마트 팩토리\3. OEE\"/>
    </mc:Choice>
  </mc:AlternateContent>
  <xr:revisionPtr revIDLastSave="0" documentId="8_{FED43149-C5E0-4C8C-ACFB-F4B3DB6D7250}" xr6:coauthVersionLast="47" xr6:coauthVersionMax="47" xr10:uidLastSave="{00000000-0000-0000-0000-000000000000}"/>
  <bookViews>
    <workbookView xWindow="-120" yWindow="-120" windowWidth="29040" windowHeight="15840" tabRatio="890" activeTab="9" xr2:uid="{00000000-000D-0000-FFFF-FFFF00000000}"/>
  </bookViews>
  <sheets>
    <sheet name="표지" sheetId="8" r:id="rId1"/>
    <sheet name="개정 이력" sheetId="5" r:id="rId2"/>
    <sheet name="설비 정보" sheetId="24" r:id="rId3"/>
    <sheet name="01. EQP Diagram" sheetId="26" state="hidden" r:id="rId4"/>
    <sheet name="02. GEM Compliance" sheetId="20" state="hidden" r:id="rId5"/>
    <sheet name="Stream Function" sheetId="21" r:id="rId6"/>
    <sheet name="04. Item Format" sheetId="25" state="hidden" r:id="rId7"/>
    <sheet name="03. UI 및 설정기능" sheetId="27" state="hidden" r:id="rId8"/>
    <sheet name="06. SV List" sheetId="28" state="hidden" r:id="rId9"/>
    <sheet name="Event List (S6F11)" sheetId="22" r:id="rId10"/>
    <sheet name="RCMD List (S2F49)" sheetId="23" r:id="rId11"/>
    <sheet name="Recipe Parameter(Set Value)" sheetId="31" state="hidden" r:id="rId12"/>
    <sheet name="07. Trace Data" sheetId="29" state="hidden" r:id="rId13"/>
    <sheet name="Lot Process Data" sheetId="34" r:id="rId14"/>
    <sheet name="09. Carrier Process Data" sheetId="35" state="hidden" r:id="rId15"/>
    <sheet name="Alarm" sheetId="32" r:id="rId16"/>
  </sheets>
  <externalReferences>
    <externalReference r:id="rId17"/>
  </externalReferences>
  <definedNames>
    <definedName name="_xlnm._FilterDatabase" localSheetId="6" hidden="1">'04. Item Format'!$B$4:$F$53</definedName>
    <definedName name="_xlnm._FilterDatabase" localSheetId="9" hidden="1">'Event List (S6F11)'!$B$4:$I$163</definedName>
    <definedName name="_xlnm._FilterDatabase" localSheetId="10" hidden="1">'RCMD List (S2F49)'!$B$4:$J$63</definedName>
    <definedName name="_xlnm._FilterDatabase" localSheetId="5" hidden="1">'Stream Function'!$E$2:$E$73</definedName>
    <definedName name="aa" localSheetId="14">#REF!</definedName>
    <definedName name="aa" localSheetId="13">#REF!</definedName>
    <definedName name="aa" localSheetId="11">#REF!</definedName>
    <definedName name="aa">#REF!</definedName>
    <definedName name="_xlnm.Print_Area" localSheetId="0">표지!$A$1:$Y$29</definedName>
    <definedName name="T01_컬럼정보_Query" localSheetId="14">#REF!</definedName>
    <definedName name="T01_컬럼정보_Query" localSheetId="13">#REF!</definedName>
    <definedName name="T01_컬럼정보_Query" localSheetId="11">#REF!</definedName>
    <definedName name="T01_컬럼정보_Query">#REF!</definedName>
    <definedName name="가이드적용" localSheetId="14">#REF!</definedName>
    <definedName name="가이드적용" localSheetId="13">#REF!</definedName>
    <definedName name="가이드적용" localSheetId="11">#REF!</definedName>
    <definedName name="가이드적용">#REF!</definedName>
    <definedName name="도메인">[1]결함관리대장!$B$1:$B$65536</definedName>
    <definedName name="모듈">[1]결함관리대장!$C$1:$C$65536</definedName>
    <definedName name="상태">[1]결함관리대장!$F$1:$F$65536</definedName>
    <definedName name="적용" localSheetId="14">#REF!</definedName>
    <definedName name="적용" localSheetId="13">#REF!</definedName>
    <definedName name="적용" localSheetId="11">#REF!</definedName>
    <definedName name="적용">#REF!</definedName>
    <definedName name="테스트결과" localSheetId="14">#REF!</definedName>
    <definedName name="테스트결과" localSheetId="13">#REF!</definedName>
    <definedName name="테스트결과" localSheetId="11">#REF!</definedName>
    <definedName name="테스트결과">#REF!</definedName>
    <definedName name="ㅣㅏㅓㅣㅁㅇㄴ" localSheetId="14">#REF!</definedName>
    <definedName name="ㅣㅏㅓㅣㅁㅇㄴ" localSheetId="13">#REF!</definedName>
    <definedName name="ㅣㅏㅓㅣㅁㅇㄴ" localSheetId="11">#REF!</definedName>
    <definedName name="ㅣㅏㅓㅣㅁㅇㄴ">#REF!</definedName>
  </definedNames>
  <calcPr calcId="191029"/>
  <customWorkbookViews>
    <customWorkbookView name="JTPARK - 사용자 보기" guid="{26CC365E-F287-443F-B122-11AB98162C86}" mergeInterval="0" personalView="1" maximized="1" windowWidth="1396" windowHeight="886" tabRatio="485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1" l="1"/>
  <c r="J26" i="21"/>
  <c r="J27" i="21"/>
  <c r="J30" i="21"/>
  <c r="J31" i="21"/>
  <c r="J32" i="21"/>
  <c r="J35" i="21"/>
  <c r="J38" i="21"/>
  <c r="J39" i="21"/>
  <c r="J40" i="21"/>
  <c r="J43" i="21"/>
  <c r="J44" i="21"/>
  <c r="J45" i="21"/>
  <c r="J42" i="21"/>
  <c r="J37" i="21"/>
  <c r="J34" i="21"/>
  <c r="J29" i="21"/>
  <c r="J24" i="21"/>
  <c r="J12" i="21"/>
  <c r="J13" i="21"/>
  <c r="J14" i="21"/>
  <c r="J15" i="21"/>
  <c r="J16" i="21"/>
  <c r="J17" i="21"/>
  <c r="J18" i="21"/>
  <c r="J19" i="21"/>
  <c r="J20" i="21"/>
  <c r="J21" i="21"/>
  <c r="J22" i="21"/>
  <c r="J11" i="21"/>
  <c r="J6" i="21"/>
  <c r="J7" i="21"/>
  <c r="J8" i="21"/>
  <c r="J9" i="21"/>
  <c r="J5" i="21"/>
  <c r="G1" i="5"/>
  <c r="L1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jsnam@dsk.co.kr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jsnam@dsk.co.kr:</t>
        </r>
        <r>
          <rPr>
            <sz val="9"/>
            <color indexed="81"/>
            <rFont val="Tahoma"/>
            <family val="2"/>
          </rPr>
          <t xml:space="preserve">
H : Host
E : Equipment</t>
        </r>
      </text>
    </comment>
  </commentList>
</comments>
</file>

<file path=xl/sharedStrings.xml><?xml version="1.0" encoding="utf-8"?>
<sst xmlns="http://schemas.openxmlformats.org/spreadsheetml/2006/main" count="1701" uniqueCount="837">
  <si>
    <t>작성자</t>
  </si>
  <si>
    <t>승인자</t>
  </si>
  <si>
    <t>개 정 이 력</t>
    <phoneticPr fontId="4" type="noConversion"/>
  </si>
  <si>
    <t>변경 내용</t>
    <phoneticPr fontId="2" type="noConversion"/>
  </si>
  <si>
    <t>1.0</t>
    <phoneticPr fontId="2" type="noConversion"/>
  </si>
  <si>
    <t xml:space="preserve"> LG CNS</t>
    <phoneticPr fontId="2" type="noConversion"/>
  </si>
  <si>
    <t xml:space="preserve"> LG CNS</t>
    <phoneticPr fontId="2" type="noConversion"/>
  </si>
  <si>
    <t>Ver.</t>
    <phoneticPr fontId="2" type="noConversion"/>
  </si>
  <si>
    <t>변경일</t>
    <phoneticPr fontId="2" type="noConversion"/>
  </si>
  <si>
    <t>관련 근거</t>
    <phoneticPr fontId="2" type="noConversion"/>
  </si>
  <si>
    <t>-</t>
    <phoneticPr fontId="2" type="noConversion"/>
  </si>
  <si>
    <t>최초 작성</t>
    <phoneticPr fontId="4" type="noConversion"/>
  </si>
  <si>
    <t>Fundamental GEM Requirements</t>
  </si>
  <si>
    <t>Implemented</t>
  </si>
  <si>
    <t>Remarks</t>
  </si>
  <si>
    <t>State Models</t>
  </si>
  <si>
    <t>Equipment Processing States</t>
  </si>
  <si>
    <t>Host-Initiated S1=F13/F14 Scenario</t>
  </si>
  <si>
    <t>Event Notification</t>
  </si>
  <si>
    <t>On-Line Identification</t>
  </si>
  <si>
    <t>Error Messages</t>
  </si>
  <si>
    <t>Documentation</t>
  </si>
  <si>
    <t>Control (Operator Initiated)</t>
  </si>
  <si>
    <t>Additional Capabilities</t>
  </si>
  <si>
    <t>Establish Communications</t>
  </si>
  <si>
    <t>Dynamic Event Report Configuration</t>
  </si>
  <si>
    <t>Variable Data Collection</t>
  </si>
  <si>
    <t>Trace Data Collection</t>
  </si>
  <si>
    <t>Status Data Collection</t>
  </si>
  <si>
    <t>Alarm Management</t>
  </si>
  <si>
    <t>Remote Control</t>
  </si>
  <si>
    <t>Equipment Constants</t>
  </si>
  <si>
    <t>Process Program Management</t>
  </si>
  <si>
    <t>Material Movement</t>
  </si>
  <si>
    <t>Equipment Terminal Services</t>
  </si>
  <si>
    <t>Clock</t>
  </si>
  <si>
    <t>Limit Monitoring</t>
  </si>
  <si>
    <t>Spooling</t>
  </si>
  <si>
    <t>Control (Host Initiated)</t>
  </si>
  <si>
    <t>Stream</t>
  </si>
  <si>
    <t>Function</t>
  </si>
  <si>
    <t>Description (Short Mnemonic)</t>
  </si>
  <si>
    <t>Directions</t>
  </si>
  <si>
    <t>Remarks</t>
    <phoneticPr fontId="75" type="noConversion"/>
  </si>
  <si>
    <t>Abort Transaction</t>
  </si>
  <si>
    <t>※ Indicate by √(Check) at the 'Implemented' Column if the item is implemented.</t>
    <phoneticPr fontId="75" type="noConversion"/>
  </si>
  <si>
    <t>Remarks</t>
    <phoneticPr fontId="75" type="noConversion"/>
  </si>
  <si>
    <t>VID</t>
    <phoneticPr fontId="2" type="noConversion"/>
  </si>
  <si>
    <t>Description</t>
    <phoneticPr fontId="2" type="noConversion"/>
  </si>
  <si>
    <t>Implemented</t>
    <phoneticPr fontId="2" type="noConversion"/>
  </si>
  <si>
    <t>Required</t>
    <phoneticPr fontId="2" type="noConversion"/>
  </si>
  <si>
    <t>√　</t>
  </si>
  <si>
    <t>Equipment Name</t>
    <phoneticPr fontId="4" type="noConversion"/>
  </si>
  <si>
    <t>Maker</t>
    <phoneticPr fontId="4" type="noConversion"/>
  </si>
  <si>
    <t>Company</t>
    <phoneticPr fontId="75" type="noConversion"/>
  </si>
  <si>
    <t>Person In Charge</t>
    <phoneticPr fontId="75" type="noConversion"/>
  </si>
  <si>
    <t>E-Mail</t>
    <phoneticPr fontId="75" type="noConversion"/>
  </si>
  <si>
    <t>Phone Number</t>
    <phoneticPr fontId="75" type="noConversion"/>
  </si>
  <si>
    <t>Agent</t>
    <phoneticPr fontId="75" type="noConversion"/>
  </si>
  <si>
    <t>Date of Preparation</t>
    <phoneticPr fontId="4" type="noConversion"/>
  </si>
  <si>
    <t>Equipment Main Function</t>
    <phoneticPr fontId="4" type="noConversion"/>
  </si>
  <si>
    <t>Name</t>
    <phoneticPr fontId="2" type="noConversion"/>
  </si>
  <si>
    <t>Format</t>
    <phoneticPr fontId="2" type="noConversion"/>
  </si>
  <si>
    <t>Where Used</t>
    <phoneticPr fontId="2" type="noConversion"/>
  </si>
  <si>
    <t>Implemented Format</t>
    <phoneticPr fontId="2" type="noConversion"/>
  </si>
  <si>
    <t>Reference Format</t>
    <phoneticPr fontId="2" type="noConversion"/>
  </si>
  <si>
    <t>ALCD</t>
    <phoneticPr fontId="2" type="noConversion"/>
  </si>
  <si>
    <t>ALED</t>
    <phoneticPr fontId="2" type="noConversion"/>
  </si>
  <si>
    <t>ALID</t>
    <phoneticPr fontId="2" type="noConversion"/>
  </si>
  <si>
    <t>3(), 5()</t>
    <phoneticPr fontId="2" type="noConversion"/>
  </si>
  <si>
    <t>L</t>
    <phoneticPr fontId="2" type="noConversion"/>
  </si>
  <si>
    <t>B</t>
    <phoneticPr fontId="2" type="noConversion"/>
  </si>
  <si>
    <t>BOOLEAN</t>
    <phoneticPr fontId="2" type="noConversion"/>
  </si>
  <si>
    <t>ASCII</t>
    <phoneticPr fontId="2" type="noConversion"/>
  </si>
  <si>
    <t>J</t>
    <phoneticPr fontId="2" type="noConversion"/>
  </si>
  <si>
    <t>I8</t>
    <phoneticPr fontId="2" type="noConversion"/>
  </si>
  <si>
    <t>I1</t>
    <phoneticPr fontId="2" type="noConversion"/>
  </si>
  <si>
    <t>I2</t>
    <phoneticPr fontId="2" type="noConversion"/>
  </si>
  <si>
    <t>I4</t>
    <phoneticPr fontId="2" type="noConversion"/>
  </si>
  <si>
    <t>F8</t>
    <phoneticPr fontId="2" type="noConversion"/>
  </si>
  <si>
    <t>F4</t>
    <phoneticPr fontId="2" type="noConversion"/>
  </si>
  <si>
    <t>U8</t>
    <phoneticPr fontId="2" type="noConversion"/>
  </si>
  <si>
    <t>U1</t>
    <phoneticPr fontId="2" type="noConversion"/>
  </si>
  <si>
    <t>U2</t>
    <phoneticPr fontId="2" type="noConversion"/>
  </si>
  <si>
    <t>U4</t>
    <phoneticPr fontId="2" type="noConversion"/>
  </si>
  <si>
    <t>ABS</t>
    <phoneticPr fontId="2" type="noConversion"/>
  </si>
  <si>
    <t>ACKC5</t>
    <phoneticPr fontId="2" type="noConversion"/>
  </si>
  <si>
    <t>ACKC6</t>
    <phoneticPr fontId="2" type="noConversion"/>
  </si>
  <si>
    <t>S6F2,F4,F10,F12,F14</t>
    <phoneticPr fontId="2" type="noConversion"/>
  </si>
  <si>
    <t>ACKC7</t>
    <phoneticPr fontId="2" type="noConversion"/>
  </si>
  <si>
    <t>ACKC10</t>
    <phoneticPr fontId="2" type="noConversion"/>
  </si>
  <si>
    <t>S10F2,F4,F6,F10</t>
    <phoneticPr fontId="2" type="noConversion"/>
  </si>
  <si>
    <t>S5F3</t>
    <phoneticPr fontId="2" type="noConversion"/>
  </si>
  <si>
    <t>ALTX</t>
    <phoneticPr fontId="2" type="noConversion"/>
  </si>
  <si>
    <t>S5F1,F6</t>
    <phoneticPr fontId="2" type="noConversion"/>
  </si>
  <si>
    <t>CCODE</t>
    <phoneticPr fontId="2" type="noConversion"/>
  </si>
  <si>
    <t>20, 32, 34, 52, 54</t>
    <phoneticPr fontId="2" type="noConversion"/>
  </si>
  <si>
    <t>S7F22,F23,F26,F31,F39,F43</t>
    <phoneticPr fontId="2" type="noConversion"/>
  </si>
  <si>
    <t>CEED</t>
    <phoneticPr fontId="2" type="noConversion"/>
  </si>
  <si>
    <t>CEID</t>
    <phoneticPr fontId="2" type="noConversion"/>
  </si>
  <si>
    <t>20, 3(), 5()</t>
    <phoneticPr fontId="2" type="noConversion"/>
  </si>
  <si>
    <t>0, 10, 11, 20, 21, 3(), 4(), 5()</t>
    <phoneticPr fontId="2" type="noConversion"/>
  </si>
  <si>
    <t>COMMACK</t>
    <phoneticPr fontId="2" type="noConversion"/>
  </si>
  <si>
    <t>S1F14</t>
    <phoneticPr fontId="2" type="noConversion"/>
  </si>
  <si>
    <t>CPACK</t>
    <phoneticPr fontId="2" type="noConversion"/>
  </si>
  <si>
    <t>S2F42</t>
    <phoneticPr fontId="2" type="noConversion"/>
  </si>
  <si>
    <t>CPNAME</t>
    <phoneticPr fontId="2" type="noConversion"/>
  </si>
  <si>
    <t>S2F41,F42,F49,F50</t>
    <phoneticPr fontId="2" type="noConversion"/>
  </si>
  <si>
    <t>CPVAL</t>
    <phoneticPr fontId="2" type="noConversion"/>
  </si>
  <si>
    <t>10, 11, 20, 21, 3(), 5()</t>
    <phoneticPr fontId="2" type="noConversion"/>
  </si>
  <si>
    <t>S2F42,F49</t>
    <phoneticPr fontId="2" type="noConversion"/>
  </si>
  <si>
    <t>DATAID</t>
    <phoneticPr fontId="2" type="noConversion"/>
  </si>
  <si>
    <t>S2F33,F35,F39
S6F3,F5,F7,F8,F9,F11,F13,F16,F18,F27</t>
    <phoneticPr fontId="2" type="noConversion"/>
  </si>
  <si>
    <t>S2F37</t>
    <phoneticPr fontId="2" type="noConversion"/>
  </si>
  <si>
    <t>S2F35,F37 S6F3,F8,F9,F11,F13,F15,F17</t>
    <phoneticPr fontId="2" type="noConversion"/>
  </si>
  <si>
    <t>DRACK</t>
    <phoneticPr fontId="2" type="noConversion"/>
  </si>
  <si>
    <t>S2F34</t>
    <phoneticPr fontId="2" type="noConversion"/>
  </si>
  <si>
    <t>DSPER</t>
    <phoneticPr fontId="2" type="noConversion"/>
  </si>
  <si>
    <t>S2F23</t>
    <phoneticPr fontId="2" type="noConversion"/>
  </si>
  <si>
    <t>EAC</t>
    <phoneticPr fontId="2" type="noConversion"/>
  </si>
  <si>
    <t>S2F16</t>
    <phoneticPr fontId="2" type="noConversion"/>
  </si>
  <si>
    <t>ECID</t>
    <phoneticPr fontId="2" type="noConversion"/>
  </si>
  <si>
    <t>3(), 20, 5()</t>
    <phoneticPr fontId="2" type="noConversion"/>
  </si>
  <si>
    <t>S2F13,F15,F29,F30</t>
    <phoneticPr fontId="2" type="noConversion"/>
  </si>
  <si>
    <t>ECV</t>
    <phoneticPr fontId="2" type="noConversion"/>
  </si>
  <si>
    <t>00, 10, 11, 20, 21, 3(), 4(), 5()</t>
    <phoneticPr fontId="2" type="noConversion"/>
  </si>
  <si>
    <t>S2F14,F15</t>
    <phoneticPr fontId="2" type="noConversion"/>
  </si>
  <si>
    <t>EDID</t>
    <phoneticPr fontId="2" type="noConversion"/>
  </si>
  <si>
    <t>10, 20, 3(), 5()</t>
    <phoneticPr fontId="2" type="noConversion"/>
  </si>
  <si>
    <t>S9F13</t>
    <phoneticPr fontId="2" type="noConversion"/>
  </si>
  <si>
    <t>ERACK</t>
    <phoneticPr fontId="2" type="noConversion"/>
  </si>
  <si>
    <t>S2F38</t>
    <phoneticPr fontId="2" type="noConversion"/>
  </si>
  <si>
    <t>HCACK</t>
    <phoneticPr fontId="2" type="noConversion"/>
  </si>
  <si>
    <t>S2F42,F50</t>
    <phoneticPr fontId="2" type="noConversion"/>
  </si>
  <si>
    <t>LRACK</t>
    <phoneticPr fontId="2" type="noConversion"/>
  </si>
  <si>
    <t>S2F36</t>
    <phoneticPr fontId="2" type="noConversion"/>
  </si>
  <si>
    <t>MDLN</t>
    <phoneticPr fontId="2" type="noConversion"/>
  </si>
  <si>
    <t>S1F2,F13,F14</t>
    <phoneticPr fontId="2" type="noConversion"/>
  </si>
  <si>
    <t>MEXP</t>
    <phoneticPr fontId="2" type="noConversion"/>
  </si>
  <si>
    <t>MHEAD</t>
    <phoneticPr fontId="2" type="noConversion"/>
  </si>
  <si>
    <t>S9F1,F3,F5,F7,F11</t>
    <phoneticPr fontId="2" type="noConversion"/>
  </si>
  <si>
    <t>OFLACK</t>
    <phoneticPr fontId="2" type="noConversion"/>
  </si>
  <si>
    <t>S1F16</t>
    <phoneticPr fontId="2" type="noConversion"/>
  </si>
  <si>
    <t>ONLACK</t>
    <phoneticPr fontId="2" type="noConversion"/>
  </si>
  <si>
    <t>S1F18</t>
    <phoneticPr fontId="2" type="noConversion"/>
  </si>
  <si>
    <t>RCMD</t>
    <phoneticPr fontId="2" type="noConversion"/>
  </si>
  <si>
    <t>20, 31, 51</t>
    <phoneticPr fontId="2" type="noConversion"/>
  </si>
  <si>
    <t>S2F21,F41,F49</t>
    <phoneticPr fontId="2" type="noConversion"/>
  </si>
  <si>
    <t>RPTID</t>
    <phoneticPr fontId="2" type="noConversion"/>
  </si>
  <si>
    <t>S2F33,F35
S6F11</t>
    <phoneticPr fontId="2" type="noConversion"/>
  </si>
  <si>
    <t>SHEAD</t>
    <phoneticPr fontId="2" type="noConversion"/>
  </si>
  <si>
    <t>S9F9</t>
    <phoneticPr fontId="2" type="noConversion"/>
  </si>
  <si>
    <t>SMPLN</t>
    <phoneticPr fontId="2" type="noConversion"/>
  </si>
  <si>
    <t>S6F1</t>
    <phoneticPr fontId="2" type="noConversion"/>
  </si>
  <si>
    <t>SOFTREV</t>
    <phoneticPr fontId="2" type="noConversion"/>
  </si>
  <si>
    <t>STIME</t>
    <phoneticPr fontId="2" type="noConversion"/>
  </si>
  <si>
    <t>SV</t>
    <phoneticPr fontId="2" type="noConversion"/>
  </si>
  <si>
    <t>S1F4
S6F1</t>
    <phoneticPr fontId="2" type="noConversion"/>
  </si>
  <si>
    <t>S2F25,F26</t>
    <phoneticPr fontId="2" type="noConversion"/>
  </si>
  <si>
    <t>S5F2,F4</t>
    <phoneticPr fontId="2" type="noConversion"/>
  </si>
  <si>
    <t>S5F1,F3,F5,F6</t>
    <phoneticPr fontId="2" type="noConversion"/>
  </si>
  <si>
    <t>SVID</t>
    <phoneticPr fontId="2" type="noConversion"/>
  </si>
  <si>
    <t>S1F3,F11,F12
S2F23</t>
    <phoneticPr fontId="2" type="noConversion"/>
  </si>
  <si>
    <t>TEXT</t>
    <phoneticPr fontId="2" type="noConversion"/>
  </si>
  <si>
    <t>10, 20, 22, 3(), 5()</t>
    <phoneticPr fontId="2" type="noConversion"/>
  </si>
  <si>
    <t>S10F1,F3,F5,F9</t>
    <phoneticPr fontId="2" type="noConversion"/>
  </si>
  <si>
    <t>TIAACK</t>
    <phoneticPr fontId="2" type="noConversion"/>
  </si>
  <si>
    <t>S2F24</t>
    <phoneticPr fontId="2" type="noConversion"/>
  </si>
  <si>
    <t>TIACK</t>
    <phoneticPr fontId="2" type="noConversion"/>
  </si>
  <si>
    <t>S2F32</t>
    <phoneticPr fontId="2" type="noConversion"/>
  </si>
  <si>
    <t>TID</t>
    <phoneticPr fontId="2" type="noConversion"/>
  </si>
  <si>
    <t>S2F18,F31</t>
    <phoneticPr fontId="2" type="noConversion"/>
  </si>
  <si>
    <t>TIME</t>
    <phoneticPr fontId="2" type="noConversion"/>
  </si>
  <si>
    <t>TOTSMP</t>
    <phoneticPr fontId="2" type="noConversion"/>
  </si>
  <si>
    <t>TRID</t>
    <phoneticPr fontId="2" type="noConversion"/>
  </si>
  <si>
    <t>V</t>
    <phoneticPr fontId="2" type="noConversion"/>
  </si>
  <si>
    <t>S6F11,F13</t>
    <phoneticPr fontId="2" type="noConversion"/>
  </si>
  <si>
    <t>VID</t>
    <phoneticPr fontId="2" type="noConversion"/>
  </si>
  <si>
    <t>S2F33</t>
    <phoneticPr fontId="2" type="noConversion"/>
  </si>
  <si>
    <t>S7F4,F12,F14, …</t>
    <phoneticPr fontId="2" type="noConversion"/>
  </si>
  <si>
    <t>SML Item Format</t>
    <phoneticPr fontId="2" type="noConversion"/>
  </si>
  <si>
    <t>B</t>
    <phoneticPr fontId="2" type="noConversion"/>
  </si>
  <si>
    <t>B</t>
    <phoneticPr fontId="2" type="noConversion"/>
  </si>
  <si>
    <t>B</t>
    <phoneticPr fontId="2" type="noConversion"/>
  </si>
  <si>
    <t>B</t>
    <phoneticPr fontId="2" type="noConversion"/>
  </si>
  <si>
    <t>Any</t>
    <phoneticPr fontId="2" type="noConversion"/>
  </si>
  <si>
    <t>B</t>
    <phoneticPr fontId="2" type="noConversion"/>
  </si>
  <si>
    <t>B</t>
    <phoneticPr fontId="2" type="noConversion"/>
  </si>
  <si>
    <t>Octal</t>
    <phoneticPr fontId="2" type="noConversion"/>
  </si>
  <si>
    <t>00</t>
    <phoneticPr fontId="2" type="noConversion"/>
  </si>
  <si>
    <t>10</t>
    <phoneticPr fontId="2" type="noConversion"/>
  </si>
  <si>
    <t>11</t>
    <phoneticPr fontId="2" type="noConversion"/>
  </si>
  <si>
    <t>Item Format</t>
    <phoneticPr fontId="2" type="noConversion"/>
  </si>
  <si>
    <t>※ Fill out the 'Implemented Format' Column. (by SML Item Format)
If your system does not implemented yet, follow the Reference format</t>
    <phoneticPr fontId="75" type="noConversion"/>
  </si>
  <si>
    <t>Port ID</t>
    <phoneticPr fontId="2" type="noConversion"/>
  </si>
  <si>
    <t>Description</t>
    <phoneticPr fontId="2" type="noConversion"/>
  </si>
  <si>
    <t>No</t>
    <phoneticPr fontId="2" type="noConversion"/>
  </si>
  <si>
    <t>설비에는 Equipment ID를 설정 가능 해야 하며, 해당 SV는 모든 이벤트에 Link 될 수 있어야 한다.</t>
    <phoneticPr fontId="2" type="noConversion"/>
  </si>
  <si>
    <t>S2F31로 TimeData를 받으면 설비는 System Time을 전송받은 값으로 변경해야 한다.
(표준시간대는 Korea, Seoul 로 세팅 되어있어야 한다)</t>
    <phoneticPr fontId="2" type="noConversion"/>
  </si>
  <si>
    <t>Confirm</t>
    <phoneticPr fontId="2" type="noConversion"/>
  </si>
  <si>
    <t xml:space="preserve">※ Fill out the 'Confirm' Column. by "OK" or "Reject"
</t>
    <phoneticPr fontId="75" type="noConversion"/>
  </si>
  <si>
    <t>Required SV</t>
    <phoneticPr fontId="75" type="noConversion"/>
  </si>
  <si>
    <t>Item Format
(SML)</t>
    <phoneticPr fontId="2" type="noConversion"/>
  </si>
  <si>
    <t>Lot ID</t>
    <phoneticPr fontId="2" type="noConversion"/>
  </si>
  <si>
    <t>Remark</t>
    <phoneticPr fontId="2" type="noConversion"/>
  </si>
  <si>
    <t>Data Name</t>
  </si>
  <si>
    <t>유효범위
(xxxx.xxx ~ yyyy.yyy)</t>
    <phoneticPr fontId="4" type="noConversion"/>
  </si>
  <si>
    <t>비고</t>
  </si>
  <si>
    <t>Alarm ID</t>
    <phoneticPr fontId="2" type="noConversion"/>
  </si>
  <si>
    <t>VID</t>
    <phoneticPr fontId="2" type="noConversion"/>
  </si>
  <si>
    <t>소속</t>
    <phoneticPr fontId="2" type="noConversion"/>
  </si>
  <si>
    <t>검토자</t>
    <phoneticPr fontId="2" type="noConversion"/>
  </si>
  <si>
    <t>작성자</t>
    <phoneticPr fontId="2" type="noConversion"/>
  </si>
  <si>
    <t>소속</t>
    <phoneticPr fontId="2" type="noConversion"/>
  </si>
  <si>
    <t>승인자</t>
    <phoneticPr fontId="2" type="noConversion"/>
  </si>
  <si>
    <t>소속</t>
    <phoneticPr fontId="2" type="noConversion"/>
  </si>
  <si>
    <t>검수자</t>
    <phoneticPr fontId="2" type="noConversion"/>
  </si>
  <si>
    <r>
      <t xml:space="preserve">Copyright ⓒ LG CNS
</t>
    </r>
    <r>
      <rPr>
        <b/>
        <sz val="8"/>
        <rFont val="맑은 고딕"/>
        <family val="3"/>
        <charset val="129"/>
        <scheme val="major"/>
      </rPr>
      <t>LG CNS의 사전 승인 없이 본 내용의 전부 또는 일부에 대한 복사, 배포, 사용을 금합니다.</t>
    </r>
    <phoneticPr fontId="2" type="noConversion"/>
  </si>
  <si>
    <t>Unloader Port</t>
    <phoneticPr fontId="2" type="noConversion"/>
  </si>
  <si>
    <t>Loader Port</t>
    <phoneticPr fontId="2" type="noConversion"/>
  </si>
  <si>
    <t>Implemented</t>
    <phoneticPr fontId="75" type="noConversion"/>
  </si>
  <si>
    <r>
      <t xml:space="preserve">설비에는 </t>
    </r>
    <r>
      <rPr>
        <sz val="11"/>
        <color theme="1"/>
        <rFont val="맑은 고딕"/>
        <family val="3"/>
        <charset val="129"/>
      </rPr>
      <t>Operator ID를 Key-In가능</t>
    </r>
    <r>
      <rPr>
        <sz val="11"/>
        <rFont val="맑은 고딕"/>
        <family val="3"/>
        <charset val="129"/>
      </rPr>
      <t xml:space="preserve"> 해야 하며, 해당 SV는 모든 이벤트에 Link 될 수 있어야 한다.</t>
    </r>
    <phoneticPr fontId="2" type="noConversion"/>
  </si>
  <si>
    <t>내용</t>
    <phoneticPr fontId="2" type="noConversion"/>
  </si>
  <si>
    <t>화면 예시</t>
    <phoneticPr fontId="2" type="noConversion"/>
  </si>
  <si>
    <t>어떠한 사유로 Remote Command "PP-SELECT"가 받아들일 수 없는 경우(예&gt; 설비에 등록되지 않은 Recipe ID 선택) 설비는 작업을 중지하며, 알람/Buzzer를 울리고, 해당 사유를 설비 화면에 Display 하여야 한다. 작업자가 조치 후 Retry 할 수 있도록 한다.</t>
    <phoneticPr fontId="2" type="noConversion"/>
  </si>
  <si>
    <t>Host로부터 Validation Check Fail 등 작업자 호출을 요하는 명령을 전송 받으면, 설비는 작업자 호출을 위해 Buzzer, 경광등, 알람을 울리고 호출 사유를 화면에 Display 한다.</t>
    <phoneticPr fontId="2" type="noConversion"/>
  </si>
  <si>
    <r>
      <t xml:space="preserve">S6F11(Event) 전송 후, 해당하는 S2F41(RCMD)가 수신되지 않았을 때. S9F13 (Conversation Timeout)을 보고 한다. S9F13 메세지의 MEXP는 S2F41 로 Fix하고 EDID는 받아야 할 RCMD로 한다.
Retry 시 Conversation Timeout 구간에 맞는 S6F11(Event)을 재전송하도록 한다.
Ex&gt; S9F13 - Conversation Timeout Report
     L,2
        </t>
    </r>
    <r>
      <rPr>
        <sz val="11"/>
        <color rgb="FFFF0000"/>
        <rFont val="맑은 고딕"/>
        <family val="3"/>
        <charset val="129"/>
      </rPr>
      <t>S2F41</t>
    </r>
    <r>
      <rPr>
        <sz val="11"/>
        <rFont val="맑은 고딕"/>
        <family val="3"/>
        <charset val="129"/>
      </rPr>
      <t xml:space="preserve"> [ASCII,5] [MEXP]
        </t>
    </r>
    <r>
      <rPr>
        <sz val="11"/>
        <color rgb="FFFF0000"/>
        <rFont val="맑은 고딕"/>
        <family val="3"/>
        <charset val="129"/>
      </rPr>
      <t>PP-SELECT</t>
    </r>
    <r>
      <rPr>
        <sz val="11"/>
        <rFont val="맑은 고딕"/>
        <family val="3"/>
        <charset val="129"/>
      </rPr>
      <t xml:space="preserve"> [ASCII,9] [EDID]</t>
    </r>
    <phoneticPr fontId="2" type="noConversion"/>
  </si>
  <si>
    <t>Access Mode</t>
    <phoneticPr fontId="2" type="noConversion"/>
  </si>
  <si>
    <t>Loader Access Mode</t>
    <phoneticPr fontId="2" type="noConversion"/>
  </si>
  <si>
    <t>Unloader Access Mode</t>
    <phoneticPr fontId="2" type="noConversion"/>
  </si>
  <si>
    <t>Control State</t>
    <phoneticPr fontId="2" type="noConversion"/>
  </si>
  <si>
    <t>EQP ID</t>
    <phoneticPr fontId="2" type="noConversion"/>
  </si>
  <si>
    <t>Lot ID</t>
  </si>
  <si>
    <t>Lot ID</t>
    <phoneticPr fontId="2" type="noConversion"/>
  </si>
  <si>
    <t>Lot Count</t>
    <phoneticPr fontId="2" type="noConversion"/>
  </si>
  <si>
    <t>Lot Real Count</t>
    <phoneticPr fontId="2" type="noConversion"/>
  </si>
  <si>
    <t>Lot Good Count</t>
    <phoneticPr fontId="2" type="noConversion"/>
  </si>
  <si>
    <t>Lot Bad Count</t>
    <phoneticPr fontId="2" type="noConversion"/>
  </si>
  <si>
    <t>Lot Process Datas</t>
    <phoneticPr fontId="2" type="noConversion"/>
  </si>
  <si>
    <t>Material ID</t>
    <phoneticPr fontId="2" type="noConversion"/>
  </si>
  <si>
    <t>Material Mount Location ID</t>
    <phoneticPr fontId="2" type="noConversion"/>
  </si>
  <si>
    <t>MGZ ID</t>
    <phoneticPr fontId="2" type="noConversion"/>
  </si>
  <si>
    <t>Pocket ID</t>
    <phoneticPr fontId="2" type="noConversion"/>
  </si>
  <si>
    <t>Port ID</t>
    <phoneticPr fontId="2" type="noConversion"/>
  </si>
  <si>
    <t>Port Transfer State</t>
    <phoneticPr fontId="2" type="noConversion"/>
  </si>
  <si>
    <t>Product ID</t>
    <phoneticPr fontId="2" type="noConversion"/>
  </si>
  <si>
    <t>Reservation State</t>
    <phoneticPr fontId="2" type="noConversion"/>
  </si>
  <si>
    <t>Loader Port Reservation State</t>
    <phoneticPr fontId="2" type="noConversion"/>
  </si>
  <si>
    <t>Unloader Port Reservation State</t>
    <phoneticPr fontId="2" type="noConversion"/>
  </si>
  <si>
    <t>Slot ID</t>
    <phoneticPr fontId="2" type="noConversion"/>
  </si>
  <si>
    <t>Time</t>
    <phoneticPr fontId="2" type="noConversion"/>
  </si>
  <si>
    <t>Tray ID</t>
    <phoneticPr fontId="2" type="noConversion"/>
  </si>
  <si>
    <t>Tray Extract Code</t>
    <phoneticPr fontId="2" type="noConversion"/>
  </si>
  <si>
    <t>Tray Judge</t>
    <phoneticPr fontId="2" type="noConversion"/>
  </si>
  <si>
    <t>Tray Input Product Count</t>
    <phoneticPr fontId="2" type="noConversion"/>
  </si>
  <si>
    <t>Tray Good Product Count</t>
    <phoneticPr fontId="2" type="noConversion"/>
  </si>
  <si>
    <t>Tray Bad Product Count</t>
    <phoneticPr fontId="2" type="noConversion"/>
  </si>
  <si>
    <t>Tray Process Datas</t>
    <phoneticPr fontId="2" type="noConversion"/>
  </si>
  <si>
    <t>Wafer ID</t>
    <phoneticPr fontId="2" type="noConversion"/>
  </si>
  <si>
    <t>Idle Start Time</t>
    <phoneticPr fontId="2" type="noConversion"/>
  </si>
  <si>
    <t>Idle End Time</t>
    <phoneticPr fontId="2" type="noConversion"/>
  </si>
  <si>
    <t>Idle Reason Code</t>
    <phoneticPr fontId="2" type="noConversion"/>
  </si>
  <si>
    <r>
      <t xml:space="preserve">Loader / Unloader Access Mode
</t>
    </r>
    <r>
      <rPr>
        <sz val="10"/>
        <color rgb="FFFF0000"/>
        <rFont val="맑은 고딕"/>
        <family val="3"/>
        <charset val="129"/>
        <scheme val="minor"/>
      </rPr>
      <t>※ Auto / Manual 은 필수</t>
    </r>
    <phoneticPr fontId="2" type="noConversion"/>
  </si>
  <si>
    <t>Loader Access Mode (For S1F3, S1F4)</t>
    <phoneticPr fontId="2" type="noConversion"/>
  </si>
  <si>
    <t>Unloader Access Mode (For S1F3, S1F4)</t>
    <phoneticPr fontId="2" type="noConversion"/>
  </si>
  <si>
    <t>Control State
Online-Remote / Online-Local / Offline</t>
    <phoneticPr fontId="2" type="noConversion"/>
  </si>
  <si>
    <t>설비 ID</t>
    <phoneticPr fontId="2" type="noConversion"/>
  </si>
  <si>
    <t>Host에서 전송한 Lot의 Product Count</t>
    <phoneticPr fontId="2" type="noConversion"/>
  </si>
  <si>
    <t>실제 투입된 Lot Product Count</t>
    <phoneticPr fontId="2" type="noConversion"/>
  </si>
  <si>
    <t>실제 양품 Product Count</t>
    <phoneticPr fontId="2" type="noConversion"/>
  </si>
  <si>
    <t>실제 불량 Product Count</t>
    <phoneticPr fontId="2" type="noConversion"/>
  </si>
  <si>
    <t>Lot Process Data (공정 데이터) 모음</t>
    <phoneticPr fontId="2" type="noConversion"/>
  </si>
  <si>
    <t>원 / 부자재 Barcode ID</t>
    <phoneticPr fontId="2" type="noConversion"/>
  </si>
  <si>
    <t>원 / 부자재가 장착되는 위치 ID</t>
    <phoneticPr fontId="2" type="noConversion"/>
  </si>
  <si>
    <t>Magazine ID</t>
    <phoneticPr fontId="2" type="noConversion"/>
  </si>
  <si>
    <t xml:space="preserve">작업자 사번 </t>
    <phoneticPr fontId="2" type="noConversion"/>
  </si>
  <si>
    <t>Tray의 Pocket ID</t>
    <phoneticPr fontId="2" type="noConversion"/>
  </si>
  <si>
    <t>Port ID</t>
    <phoneticPr fontId="2" type="noConversion"/>
  </si>
  <si>
    <t>Unloader Port Transfer State</t>
  </si>
  <si>
    <t>Process State</t>
  </si>
  <si>
    <t>Loader Port Transfer State</t>
    <phoneticPr fontId="2" type="noConversion"/>
  </si>
  <si>
    <t>Product Result Code</t>
  </si>
  <si>
    <t>Recipe ID</t>
  </si>
  <si>
    <t>Loader Port의 운영 상태 (for S1F3, S1F4)</t>
  </si>
  <si>
    <t>Unloader Port의 운영 상태 (for S1F3, S1F4)</t>
  </si>
  <si>
    <t>PP Status</t>
    <phoneticPr fontId="2" type="noConversion"/>
  </si>
  <si>
    <t>Tray 내 Product (=Module) Barcode ID</t>
    <phoneticPr fontId="2" type="noConversion"/>
  </si>
  <si>
    <t>Recipe ID</t>
    <phoneticPr fontId="2" type="noConversion"/>
  </si>
  <si>
    <t>Loader Port의 MGZ 예약 상태 (for S1F3, S1F4)</t>
  </si>
  <si>
    <t>Unloader Port의 MGZ 예약 상태 (for S1F3, S1F4)</t>
  </si>
  <si>
    <t>Magazine Slot ID</t>
  </si>
  <si>
    <t>현재 시간
YYYYMMDDhhmmss</t>
    <phoneticPr fontId="2" type="noConversion"/>
  </si>
  <si>
    <t>Tray Barcode ID</t>
  </si>
  <si>
    <t>Tray 내 투입된 Product 개수</t>
  </si>
  <si>
    <t>Tray 내 양품 Product 개수</t>
  </si>
  <si>
    <t>Tray 내 불량 Product 개수</t>
  </si>
  <si>
    <t>Wafer Components Barcode ID</t>
  </si>
  <si>
    <t>비가동 시작 시간</t>
  </si>
  <si>
    <t>비가동 종료 시간</t>
  </si>
  <si>
    <t>비가동 사유 코드 (코드는 LGIT 담당자와 협의한다)</t>
  </si>
  <si>
    <t>Tray Process Data (공정 데이터) 모음</t>
    <phoneticPr fontId="2" type="noConversion"/>
  </si>
  <si>
    <r>
      <t xml:space="preserve">Lot ID
</t>
    </r>
    <r>
      <rPr>
        <sz val="10"/>
        <color rgb="FFFF0000"/>
        <rFont val="맑은 고딕"/>
        <family val="3"/>
        <charset val="129"/>
        <scheme val="minor"/>
      </rPr>
      <t>※ Host Command (LGIT_PP_SELECT) 에서 받아서 Set</t>
    </r>
    <phoneticPr fontId="2" type="noConversion"/>
  </si>
  <si>
    <r>
      <t xml:space="preserve">Loader/Unloader Port의 운영 상태
</t>
    </r>
    <r>
      <rPr>
        <sz val="10"/>
        <color rgb="FFFF0000"/>
        <rFont val="맑은 고딕"/>
        <family val="3"/>
        <charset val="129"/>
        <scheme val="minor"/>
      </rPr>
      <t>※ Out of Service / Ready To Load / Ready To Unload / Transfer Blocked / Move In Request / Move Out Request</t>
    </r>
    <phoneticPr fontId="2" type="noConversion"/>
  </si>
  <si>
    <r>
      <t xml:space="preserve">레시피 변경 상태
</t>
    </r>
    <r>
      <rPr>
        <sz val="10"/>
        <color rgb="FFFF0000"/>
        <rFont val="맑은 고딕"/>
        <family val="3"/>
        <charset val="129"/>
        <scheme val="minor"/>
      </rPr>
      <t>※ Deleted / Edited / Created</t>
    </r>
    <phoneticPr fontId="2" type="noConversion"/>
  </si>
  <si>
    <r>
      <t xml:space="preserve">설비 운영 상태
</t>
    </r>
    <r>
      <rPr>
        <sz val="10"/>
        <color rgb="FFFF0000"/>
        <rFont val="맑은 고딕"/>
        <family val="3"/>
        <charset val="129"/>
        <scheme val="minor"/>
      </rPr>
      <t>※ Init / Idle / Setup / Ready / Executing / Pause</t>
    </r>
    <phoneticPr fontId="2" type="noConversion"/>
  </si>
  <si>
    <r>
      <t xml:space="preserve">Product 작업 결과
</t>
    </r>
    <r>
      <rPr>
        <sz val="10"/>
        <color rgb="FFFF0000"/>
        <rFont val="맑은 고딕"/>
        <family val="3"/>
        <charset val="129"/>
        <scheme val="minor"/>
      </rPr>
      <t>※ Good / Fail / Empty / …</t>
    </r>
    <phoneticPr fontId="2" type="noConversion"/>
  </si>
  <si>
    <r>
      <t xml:space="preserve">Port의 MGZ 예약 상태
</t>
    </r>
    <r>
      <rPr>
        <sz val="10"/>
        <color rgb="FFFF0000"/>
        <rFont val="맑은 고딕"/>
        <family val="3"/>
        <charset val="129"/>
        <scheme val="minor"/>
      </rPr>
      <t>※ Set / Clear</t>
    </r>
    <phoneticPr fontId="2" type="noConversion"/>
  </si>
  <si>
    <r>
      <t xml:space="preserve">Tray 작업 결과
</t>
    </r>
    <r>
      <rPr>
        <sz val="10"/>
        <color rgb="FFFF0000"/>
        <rFont val="맑은 고딕"/>
        <family val="3"/>
        <charset val="129"/>
        <scheme val="minor"/>
      </rPr>
      <t>※ Good / Fail</t>
    </r>
    <phoneticPr fontId="2" type="noConversion"/>
  </si>
  <si>
    <r>
      <t xml:space="preserve">VID Value
</t>
    </r>
    <r>
      <rPr>
        <b/>
        <sz val="10"/>
        <color rgb="FFFF0000"/>
        <rFont val="맑은 고딕"/>
        <family val="3"/>
        <charset val="129"/>
        <scheme val="minor"/>
      </rPr>
      <t>Ex) 1=xxx
     2=yyy</t>
    </r>
    <phoneticPr fontId="2" type="noConversion"/>
  </si>
  <si>
    <r>
      <t xml:space="preserve">Tray 취출 사유 코드
</t>
    </r>
    <r>
      <rPr>
        <sz val="10"/>
        <color rgb="FFFF0000"/>
        <rFont val="맑은 고딕"/>
        <family val="3"/>
        <charset val="129"/>
        <scheme val="minor"/>
      </rPr>
      <t>※ 자주검사 / CTQ / ... (LGIT 담당자와 협의 필요)</t>
    </r>
    <phoneticPr fontId="2" type="noConversion"/>
  </si>
  <si>
    <t>Process Program Changed Report</t>
    <phoneticPr fontId="2" type="noConversion"/>
  </si>
  <si>
    <t>Lot Processing Started Report</t>
  </si>
  <si>
    <t>Operator ID</t>
    <phoneticPr fontId="2" type="noConversion"/>
  </si>
  <si>
    <t>VID 2</t>
    <phoneticPr fontId="2" type="noConversion"/>
  </si>
  <si>
    <t>VID 4</t>
  </si>
  <si>
    <t>VID 5</t>
  </si>
  <si>
    <t>VID 6</t>
  </si>
  <si>
    <t>VID 7</t>
  </si>
  <si>
    <t>VID 8</t>
  </si>
  <si>
    <t>VID 9</t>
  </si>
  <si>
    <t>VID 10</t>
  </si>
  <si>
    <t>VID 11</t>
  </si>
  <si>
    <t>VID 12</t>
  </si>
  <si>
    <t>VID 13</t>
  </si>
  <si>
    <t>VID 14</t>
  </si>
  <si>
    <t>VID 15</t>
  </si>
  <si>
    <t>VID 16</t>
  </si>
  <si>
    <t>VID 17</t>
  </si>
  <si>
    <t>VID 18</t>
  </si>
  <si>
    <t>VID 19</t>
  </si>
  <si>
    <t>VID 20</t>
  </si>
  <si>
    <t>VID 21</t>
  </si>
  <si>
    <t>VID 1</t>
    <phoneticPr fontId="2" type="noConversion"/>
  </si>
  <si>
    <t>IF 1</t>
    <phoneticPr fontId="2" type="noConversion"/>
  </si>
  <si>
    <t>IF 2</t>
    <phoneticPr fontId="2" type="noConversion"/>
  </si>
  <si>
    <t>IF 3</t>
  </si>
  <si>
    <t>IF 4</t>
  </si>
  <si>
    <t>IF 5</t>
  </si>
  <si>
    <t>IF 6</t>
  </si>
  <si>
    <t>IF 7</t>
  </si>
  <si>
    <t>IF 8</t>
  </si>
  <si>
    <t>IF 9</t>
  </si>
  <si>
    <t>IF 10</t>
  </si>
  <si>
    <t>IF 11</t>
  </si>
  <si>
    <t>IF 12</t>
  </si>
  <si>
    <t>IF 13</t>
  </si>
  <si>
    <t>IF 14</t>
  </si>
  <si>
    <t>IF 15</t>
  </si>
  <si>
    <t>IF 16</t>
  </si>
  <si>
    <t>IF 17</t>
  </si>
  <si>
    <t>IF 18</t>
  </si>
  <si>
    <t>IF 19</t>
  </si>
  <si>
    <t>IF 20</t>
  </si>
  <si>
    <t>IF 21</t>
  </si>
  <si>
    <t>IF 22</t>
  </si>
  <si>
    <t>IF 23</t>
  </si>
  <si>
    <t>IF 24</t>
  </si>
  <si>
    <t>IF 25</t>
  </si>
  <si>
    <t>IF 26</t>
  </si>
  <si>
    <t>IF 27</t>
  </si>
  <si>
    <t>IF 28</t>
  </si>
  <si>
    <t>IF 29</t>
  </si>
  <si>
    <t>IF 30</t>
  </si>
  <si>
    <t>IF 31</t>
  </si>
  <si>
    <t>IF 32</t>
  </si>
  <si>
    <t>IF 33</t>
  </si>
  <si>
    <t>IF 34</t>
  </si>
  <si>
    <t>IF 35</t>
  </si>
  <si>
    <t>IF 36</t>
  </si>
  <si>
    <t>IF 37</t>
  </si>
  <si>
    <t>IF 38</t>
  </si>
  <si>
    <t>IF 39</t>
  </si>
  <si>
    <t>IF 40</t>
  </si>
  <si>
    <t>IF 41</t>
  </si>
  <si>
    <t>VID 3</t>
  </si>
  <si>
    <t>VID 22</t>
  </si>
  <si>
    <t>VID 23</t>
  </si>
  <si>
    <t>VID 24</t>
  </si>
  <si>
    <t>VID 25</t>
  </si>
  <si>
    <t>VID 26</t>
  </si>
  <si>
    <t>VID 27</t>
  </si>
  <si>
    <t>VID 28</t>
  </si>
  <si>
    <t>VID 29</t>
  </si>
  <si>
    <t>VID 30</t>
  </si>
  <si>
    <t>VID 31</t>
  </si>
  <si>
    <t>VID 32</t>
  </si>
  <si>
    <t>VID 33</t>
  </si>
  <si>
    <t>VID 34</t>
  </si>
  <si>
    <t>VID 35</t>
  </si>
  <si>
    <t>VID 36</t>
  </si>
  <si>
    <t>VID 37</t>
  </si>
  <si>
    <t>VID 38</t>
  </si>
  <si>
    <t>VID 39</t>
  </si>
  <si>
    <t>VID 40</t>
  </si>
  <si>
    <t>VID 41</t>
  </si>
  <si>
    <t>RECIPEID</t>
  </si>
  <si>
    <t>LOTID</t>
  </si>
  <si>
    <t>※ Indicate by √(Check) at the 'Implemented' Column if the item is implemented. And Fillout all yellow columns.</t>
    <phoneticPr fontId="75" type="noConversion"/>
  </si>
  <si>
    <r>
      <t xml:space="preserve">Control State
</t>
    </r>
    <r>
      <rPr>
        <sz val="10"/>
        <color rgb="FFFF0000"/>
        <rFont val="맑은 고딕"/>
        <family val="3"/>
        <charset val="129"/>
        <scheme val="minor"/>
      </rPr>
      <t>※ Online-Remote / Online-Local / Offline</t>
    </r>
    <phoneticPr fontId="2" type="noConversion"/>
  </si>
  <si>
    <r>
      <t xml:space="preserve">현재 시간
</t>
    </r>
    <r>
      <rPr>
        <sz val="10"/>
        <color rgb="FFFF0000"/>
        <rFont val="맑은 고딕"/>
        <family val="3"/>
        <charset val="129"/>
        <scheme val="minor"/>
      </rPr>
      <t>※ YYYYMMDDhhmmss</t>
    </r>
    <phoneticPr fontId="2" type="noConversion"/>
  </si>
  <si>
    <t>Format</t>
    <phoneticPr fontId="2" type="noConversion"/>
  </si>
  <si>
    <t>Description</t>
    <phoneticPr fontId="2" type="noConversion"/>
  </si>
  <si>
    <t>단위</t>
    <phoneticPr fontId="2" type="noConversion"/>
  </si>
  <si>
    <t>…</t>
    <phoneticPr fontId="2" type="noConversion"/>
  </si>
  <si>
    <t>n</t>
    <phoneticPr fontId="2" type="noConversion"/>
  </si>
  <si>
    <t>단위</t>
    <phoneticPr fontId="2" type="noConversion"/>
  </si>
  <si>
    <t>비고</t>
    <phoneticPr fontId="2" type="noConversion"/>
  </si>
  <si>
    <t>Fromat</t>
    <phoneticPr fontId="2" type="noConversion"/>
  </si>
  <si>
    <t>…</t>
    <phoneticPr fontId="2" type="noConversion"/>
  </si>
  <si>
    <t>n</t>
    <phoneticPr fontId="2" type="noConversion"/>
  </si>
  <si>
    <t>No</t>
    <phoneticPr fontId="2" type="noConversion"/>
  </si>
  <si>
    <t>Category</t>
    <phoneticPr fontId="4" type="noConversion"/>
  </si>
  <si>
    <t>Alarm Text</t>
    <phoneticPr fontId="2" type="noConversion"/>
  </si>
  <si>
    <t>No</t>
    <phoneticPr fontId="2" type="noConversion"/>
  </si>
  <si>
    <t>No</t>
    <phoneticPr fontId="2" type="noConversion"/>
  </si>
  <si>
    <t>※ Indicate by √(Check) at the 'Implemented' Column if the item is implemented.</t>
    <phoneticPr fontId="2" type="noConversion"/>
  </si>
  <si>
    <t>GEM Compliance Statement</t>
    <phoneticPr fontId="2" type="noConversion"/>
  </si>
  <si>
    <t>※ Draw your system with Port information. Below is a Example</t>
    <phoneticPr fontId="2" type="noConversion"/>
  </si>
  <si>
    <t>S2F23
S6F1</t>
    <phoneticPr fontId="2" type="noConversion"/>
  </si>
  <si>
    <t>※ Trace Data(Time-Based) - Fillout all yellow columns.</t>
    <phoneticPr fontId="2" type="noConversion"/>
  </si>
  <si>
    <t>※ Lot Process Data (at Lot Processing Completed) - Fillout all yellow columns.</t>
    <phoneticPr fontId="2" type="noConversion"/>
  </si>
  <si>
    <t>※ Carrier Process Data (at Tray Processing Completed) - Fillout all yellow columns.</t>
    <phoneticPr fontId="2" type="noConversion"/>
  </si>
  <si>
    <t>※ Alarm List - Fillout all yellow columns.</t>
    <phoneticPr fontId="2" type="noConversion"/>
  </si>
  <si>
    <t>Parameter Name</t>
    <phoneticPr fontId="2" type="noConversion"/>
  </si>
  <si>
    <t>※ Recipe Parameter (Set Value) - Fillout all yellow columns.</t>
    <phoneticPr fontId="2" type="noConversion"/>
  </si>
  <si>
    <r>
      <t xml:space="preserve">VID Value
</t>
    </r>
    <r>
      <rPr>
        <b/>
        <sz val="10"/>
        <color rgb="FFC00000"/>
        <rFont val="맑은 고딕"/>
        <family val="3"/>
        <charset val="129"/>
        <scheme val="minor"/>
      </rPr>
      <t>Ex) 1 = XXX
     2 = YYY</t>
    </r>
    <phoneticPr fontId="2" type="noConversion"/>
  </si>
  <si>
    <t>H ← E</t>
  </si>
  <si>
    <t>H → E</t>
  </si>
  <si>
    <t>H ↔ E</t>
  </si>
  <si>
    <t xml:space="preserve">설비는 별도의 메뉴에 작업자가 확인 할 수 있게 Terminal Message History를 관리하고 있어야 한다.
가장 최근에 발생한 Terminal Message를 최소 30개 이상 보관하고 있어야 한다.
</t>
    <phoneticPr fontId="2" type="noConversion"/>
  </si>
  <si>
    <t>Are You There Request</t>
  </si>
  <si>
    <t>Are You There Data</t>
  </si>
  <si>
    <t>Selected Equipment Status Request</t>
  </si>
  <si>
    <t>Selected Equipment Status Data</t>
  </si>
  <si>
    <t>Link Test Request</t>
  </si>
  <si>
    <t>Link Test Response</t>
  </si>
  <si>
    <t>Date Time Request</t>
  </si>
  <si>
    <t>Optional(설비별)</t>
  </si>
  <si>
    <t>Date Time Data</t>
  </si>
  <si>
    <t>Trace Initialize Send</t>
  </si>
  <si>
    <t>Trace Initialize Acknowledge</t>
  </si>
  <si>
    <t>Date and Time Set Request</t>
  </si>
  <si>
    <t>Date and Time Set Acknowledge</t>
  </si>
  <si>
    <t xml:space="preserve">Enhanced Remote Command </t>
  </si>
  <si>
    <t>Enhanced Remote Command Acknowledge</t>
  </si>
  <si>
    <t>Idle Reason Code Request</t>
  </si>
  <si>
    <t>Idle Reason Code Data</t>
  </si>
  <si>
    <t>Alarm Report Send</t>
  </si>
  <si>
    <t>Alarm Report Acknowledge</t>
  </si>
  <si>
    <t>List Alarms Request</t>
  </si>
  <si>
    <t>List Alarm Data</t>
  </si>
  <si>
    <t>Trace Data Send</t>
  </si>
  <si>
    <t>Trace Data Acknowledge</t>
  </si>
  <si>
    <t>Event Report Send</t>
  </si>
  <si>
    <t>Event Report Acknowledge</t>
  </si>
  <si>
    <t>Current EPPD Request</t>
  </si>
  <si>
    <t>Current EPPD Data</t>
  </si>
  <si>
    <t>Unrecognized Stream Type</t>
  </si>
  <si>
    <t>Unrecognized Function Type</t>
  </si>
  <si>
    <t>Transaction Timer Timeout</t>
  </si>
  <si>
    <t>Conversation Timeout</t>
  </si>
  <si>
    <t>Terminal Request</t>
  </si>
  <si>
    <t>Terminal Request Acknowledge</t>
  </si>
  <si>
    <t>Terminal Display, Single</t>
  </si>
  <si>
    <t>Terminal Display, Single Acknowledge</t>
  </si>
  <si>
    <t>CEID</t>
  </si>
  <si>
    <t>RPTID</t>
  </si>
  <si>
    <t>Name</t>
  </si>
  <si>
    <t>Data Item Name</t>
  </si>
  <si>
    <t>TIME</t>
  </si>
  <si>
    <t>CONTROLSTATE</t>
  </si>
  <si>
    <t>REASONTEXT</t>
  </si>
  <si>
    <t>OPERATORID</t>
  </si>
  <si>
    <t>PREVEQPSTATE</t>
  </si>
  <si>
    <t>CURREQPSTATE</t>
  </si>
  <si>
    <t>ALARMID</t>
  </si>
  <si>
    <t>ALARMCODE</t>
  </si>
  <si>
    <t>ALARMTEXT</t>
  </si>
  <si>
    <t>PPSTATUS</t>
  </si>
  <si>
    <t>PP-Selected Report</t>
  </si>
  <si>
    <t>TOTALQTY</t>
  </si>
  <si>
    <t>…</t>
  </si>
  <si>
    <t>ID</t>
  </si>
  <si>
    <t>CANCELMODE</t>
  </si>
  <si>
    <t>Aborted Report</t>
  </si>
  <si>
    <t>Host에서 전송한 Lot ID</t>
  </si>
  <si>
    <t>Control State Change Report</t>
    <phoneticPr fontId="2" type="noConversion"/>
  </si>
  <si>
    <t>Description</t>
    <phoneticPr fontId="2" type="noConversion"/>
  </si>
  <si>
    <t>Control State 변경되면 보고</t>
    <phoneticPr fontId="2" type="noConversion"/>
  </si>
  <si>
    <t>Recipe 신규등록 / 삭제 / 변경 시 보고</t>
    <phoneticPr fontId="2" type="noConversion"/>
  </si>
  <si>
    <t>Tray Processing 이후 작업 취소 (Abort) 시 보고</t>
    <phoneticPr fontId="2" type="noConversion"/>
  </si>
  <si>
    <t>Tray 내 Product 작업 완료 시 보고</t>
    <phoneticPr fontId="2" type="noConversion"/>
  </si>
  <si>
    <t>Product의 Product 정보 요청 시 보고</t>
    <phoneticPr fontId="2" type="noConversion"/>
  </si>
  <si>
    <t>Product Data Request Report</t>
    <phoneticPr fontId="2" type="noConversion"/>
  </si>
  <si>
    <t>※ Indicate by √(Check) at the 'Implemented' Column if the item is implemented. And Fillout all yellow columns.</t>
    <phoneticPr fontId="2" type="noConversion"/>
  </si>
  <si>
    <t>Description</t>
    <phoneticPr fontId="2" type="noConversion"/>
  </si>
  <si>
    <t>Remarks</t>
    <phoneticPr fontId="2" type="noConversion"/>
  </si>
  <si>
    <t>YYYYMMDDhhmmss</t>
    <phoneticPr fontId="2" type="noConversion"/>
  </si>
  <si>
    <t>YYYYMMDDhhmmss</t>
    <phoneticPr fontId="2" type="noConversion"/>
  </si>
  <si>
    <t>YYYYMMDDhhmmss</t>
    <phoneticPr fontId="2" type="noConversion"/>
  </si>
  <si>
    <t>1 : Online / 2 : Offine</t>
    <phoneticPr fontId="2" type="noConversion"/>
  </si>
  <si>
    <t>Offline 전환 시 전환 사유</t>
    <phoneticPr fontId="2" type="noConversion"/>
  </si>
  <si>
    <t>작업자 사번</t>
    <phoneticPr fontId="2" type="noConversion"/>
  </si>
  <si>
    <t>DOWN 시 발생한 Alarm ID</t>
    <phoneticPr fontId="2" type="noConversion"/>
  </si>
  <si>
    <t>DOWN 시 발생한 Alarm의 Code</t>
    <phoneticPr fontId="2" type="noConversion"/>
  </si>
  <si>
    <t>DOWN 시 발생한 Alarm의 Text</t>
    <phoneticPr fontId="2" type="noConversion"/>
  </si>
  <si>
    <t>[현재 설비 상태]
1 : Init
2 : Idle
3 : Setup
4 : Ready
5 : Executing (=Run)
6 : Pause (=Down)</t>
    <phoneticPr fontId="2" type="noConversion"/>
  </si>
  <si>
    <t>[이전 설비 상태]
1 : Init
2 : Idle
3 : Setup
4 : Ready
5 : Executing (=Run)
6 : Pause (=Down)</t>
    <phoneticPr fontId="2" type="noConversion"/>
  </si>
  <si>
    <t>작업자 사번</t>
    <phoneticPr fontId="2" type="noConversion"/>
  </si>
  <si>
    <t>[Process Program Status]
1 : Deleted
2 : Edited
3 : Created</t>
    <phoneticPr fontId="2" type="noConversion"/>
  </si>
  <si>
    <t>Product Total 수량</t>
  </si>
  <si>
    <t>설비에 설정된 시간을 초과하는 경우 보고
(설비 비가동 시작시간 / 종료시간 / 사유)</t>
    <phoneticPr fontId="2" type="noConversion"/>
  </si>
  <si>
    <t>Classification</t>
  </si>
  <si>
    <t>Common</t>
  </si>
  <si>
    <t>String</t>
  </si>
  <si>
    <t>YYYYMMDDhhmmss</t>
  </si>
  <si>
    <t>Result</t>
  </si>
  <si>
    <t>RESULT (n=2)</t>
  </si>
  <si>
    <t>List</t>
  </si>
  <si>
    <t xml:space="preserve">  CODE</t>
  </si>
  <si>
    <t xml:space="preserve">  TEXT</t>
  </si>
  <si>
    <t>Integer</t>
  </si>
  <si>
    <t>Lot당 Total 제품 수량</t>
  </si>
  <si>
    <t>Remarks</t>
    <phoneticPr fontId="2" type="noConversion"/>
  </si>
  <si>
    <t>Host Remote
Command</t>
    <phoneticPr fontId="2" type="noConversion"/>
  </si>
  <si>
    <t>Command Parameter
 Name</t>
    <phoneticPr fontId="2" type="noConversion"/>
  </si>
  <si>
    <t>Length
(Byte)</t>
    <phoneticPr fontId="2" type="noConversion"/>
  </si>
  <si>
    <t>Data
Type</t>
    <phoneticPr fontId="2" type="noConversion"/>
  </si>
  <si>
    <t>설비 프로그램에 비가동 사유 입력 화면에 진입할 수 있는 메뉴가 있어야 한다. 비가동 사유 입력 화면에 진입하면 Idle Reason Report 화면을 Popup 하고 사번 입력 창에 사번을 입력 후 비가동 사유 버튼을 클릭하면 Idle Reason Set Report 보고를 한다. 두번째 화면과 같이 메인화면에 선택한 비가동 사유가 표시되는 화면이 Popup 되어 있어야 하고 비가동 해제 시 까지 설비 운행이 되지 않도록 하여야 한다.
비가동 해제 시 사유 Popup 창에 사번을 입력하고 Idle End 버튼을 누르면 Idle Reason Reset Report를 보고한다.
사번을 입력하지 않고 버튼을 누를 경우, 사번을 입력하라고 알려줘야 하고 다음 단계로 넘어가면 안됨.</t>
  </si>
  <si>
    <t>Idle Reason Set Report</t>
    <phoneticPr fontId="2" type="noConversion"/>
  </si>
  <si>
    <t>Idle Reason Reset Report</t>
    <phoneticPr fontId="2" type="noConversion"/>
  </si>
  <si>
    <t>REASONCODE</t>
    <phoneticPr fontId="2" type="noConversion"/>
  </si>
  <si>
    <t>REASONCODE</t>
    <phoneticPr fontId="2" type="noConversion"/>
  </si>
  <si>
    <t>비가동 사유 Code</t>
    <phoneticPr fontId="2" type="noConversion"/>
  </si>
  <si>
    <t>IDLEREASONCODE</t>
    <phoneticPr fontId="2" type="noConversion"/>
  </si>
  <si>
    <t>LOTID</t>
    <phoneticPr fontId="2" type="noConversion"/>
  </si>
  <si>
    <t>CMD</t>
    <phoneticPr fontId="2" type="noConversion"/>
  </si>
  <si>
    <t>PP_SELECT 명령 수신 후
설비에서 수행 완료되면 보고</t>
    <phoneticPr fontId="2" type="noConversion"/>
  </si>
  <si>
    <t>Result</t>
    <phoneticPr fontId="2" type="noConversion"/>
  </si>
  <si>
    <t>D S K 의견</t>
    <phoneticPr fontId="2" type="noConversion"/>
  </si>
  <si>
    <t>S10F3 Message를 통하여 Terminal Message를 받았을 경우, 설비는 Host 알림 Message를 Pop-Up하여 작업자가 내용을 알 수 있게 한다. 가장 최근에 받은 Message를 최대 5개까지 화면에 표시하며 화면 UI는 위의 화면을 참조한다.  6개 이상의 Message를 받을 동안 확인 버튼을 누르지 않으면 가장 먼저 온 Message 를 Clear 한다.</t>
    <phoneticPr fontId="2" type="noConversion"/>
  </si>
  <si>
    <t>S10F3 Message를 통하여 Terminal Message를 받았을 경우, Host로 Terminal Message Recognition 즉시 보고 처리 한다.
이후 최근 5개 Terminal Message를 확인할 수 있는 UI 화면으로 전환
또는
최근 30개의 Terminal Message를 확인할 수 있는 UI 화면으로 전환
7번 항목과 연계</t>
    <phoneticPr fontId="2" type="noConversion"/>
  </si>
  <si>
    <t>Equipment State Change Report</t>
    <phoneticPr fontId="2" type="noConversion"/>
  </si>
  <si>
    <t>LGIT에서 정의 필요</t>
    <phoneticPr fontId="2" type="noConversion"/>
  </si>
  <si>
    <t>H ↔ E</t>
    <phoneticPr fontId="2" type="noConversion"/>
  </si>
  <si>
    <t>Reply</t>
    <phoneticPr fontId="2" type="noConversion"/>
  </si>
  <si>
    <t>Reply</t>
    <phoneticPr fontId="2" type="noConversion"/>
  </si>
  <si>
    <t>Reply</t>
    <phoneticPr fontId="2" type="noConversion"/>
  </si>
  <si>
    <t>PP_SELECT</t>
    <phoneticPr fontId="2" type="noConversion"/>
  </si>
  <si>
    <t>RECIPEID</t>
    <phoneticPr fontId="2" type="noConversion"/>
  </si>
  <si>
    <t>LOT_START</t>
    <phoneticPr fontId="2" type="noConversion"/>
  </si>
  <si>
    <t>PARA</t>
    <phoneticPr fontId="2" type="noConversion"/>
  </si>
  <si>
    <t>Para number</t>
    <phoneticPr fontId="2" type="noConversion"/>
  </si>
  <si>
    <t>INQTY</t>
  </si>
  <si>
    <t>OUTQTY</t>
  </si>
  <si>
    <t>NGQTY</t>
  </si>
  <si>
    <t>PRODUCT_DATA</t>
    <phoneticPr fontId="2" type="noConversion"/>
  </si>
  <si>
    <t>Recipe ID</t>
    <phoneticPr fontId="2" type="noConversion"/>
  </si>
  <si>
    <t>PORTID</t>
  </si>
  <si>
    <t>PORTTYPE</t>
  </si>
  <si>
    <t>Lot Completed 이벤트 보고</t>
    <phoneticPr fontId="2" type="noConversion"/>
  </si>
  <si>
    <t>Remark</t>
    <phoneticPr fontId="2" type="noConversion"/>
  </si>
  <si>
    <t>Lot Processing Completed Report</t>
    <phoneticPr fontId="2" type="noConversion"/>
  </si>
  <si>
    <t>Lot ID Report</t>
    <phoneticPr fontId="2" type="noConversion"/>
  </si>
  <si>
    <t>Lot ID를 Reading 시 보고</t>
    <phoneticPr fontId="2" type="noConversion"/>
  </si>
  <si>
    <t>LOTTYPE</t>
    <phoneticPr fontId="2" type="noConversion"/>
  </si>
  <si>
    <t>P/T/D</t>
    <phoneticPr fontId="2" type="noConversion"/>
  </si>
  <si>
    <t>LOTID</t>
    <phoneticPr fontId="2" type="noConversion"/>
  </si>
  <si>
    <t>OPERATIONMODE</t>
  </si>
  <si>
    <t>OPERATIONMODE</t>
    <phoneticPr fontId="2" type="noConversion"/>
  </si>
  <si>
    <t>N : Normal
R : 재검(Rework Mode)</t>
  </si>
  <si>
    <t>N : Normal
R : 재검(Rework Mode)</t>
    <phoneticPr fontId="2" type="noConversion"/>
  </si>
  <si>
    <t>LOT ID</t>
    <phoneticPr fontId="2" type="noConversion"/>
  </si>
  <si>
    <t>LOT ID</t>
    <phoneticPr fontId="2" type="noConversion"/>
  </si>
  <si>
    <t xml:space="preserve">Lot Start 이벤트 보고
</t>
    <phoneticPr fontId="2" type="noConversion"/>
  </si>
  <si>
    <t>Module ID</t>
    <phoneticPr fontId="2" type="noConversion"/>
  </si>
  <si>
    <t>RESULT</t>
  </si>
  <si>
    <t>OK/NG</t>
  </si>
  <si>
    <t>NGCODE</t>
  </si>
  <si>
    <t>NGPOCKETID</t>
  </si>
  <si>
    <t>NG인 경우 NG Tray 상의 좌표값 (1~45 or 1-2, 3-10 …)</t>
  </si>
  <si>
    <t>Operator ID</t>
  </si>
  <si>
    <t>“YYYYMMDDhhmmss”</t>
  </si>
  <si>
    <t>Lot 총 수량 (MES에서 받은 수량)</t>
  </si>
  <si>
    <t>Lot 투입 수량</t>
  </si>
  <si>
    <t>Lot 완료 수량</t>
  </si>
  <si>
    <t>Lot NG 수량</t>
  </si>
  <si>
    <t>ENDMODE</t>
  </si>
  <si>
    <t>A/N</t>
  </si>
  <si>
    <t>H/O</t>
  </si>
  <si>
    <t>MODEL</t>
  </si>
  <si>
    <t>MODULEID</t>
  </si>
  <si>
    <t xml:space="preserve">RESULT </t>
  </si>
  <si>
    <t>OK/NG : 최종 판정</t>
  </si>
  <si>
    <t>DETAIL</t>
  </si>
  <si>
    <t xml:space="preserve">L, 2
   JUDGE (String) : NG
   L, m (m=항목개수)
       --1.성능검사 - PERFORMANCE
         2.혼입검사 -MIX
         3.경과일(광학 주차검사) -AGED
         4.BLACKLIST
         5.ARMING
         6.HOLDLOT
         7.SHIP_CHK
         8.S/W버전
         9.LRR
         </t>
    <phoneticPr fontId="4" type="noConversion"/>
  </si>
  <si>
    <t>LOT_ID_FAIL</t>
    <phoneticPr fontId="2" type="noConversion"/>
  </si>
  <si>
    <t>Cancel 사유 (설비 화면에 Display)</t>
    <phoneticPr fontId="2" type="noConversion"/>
  </si>
  <si>
    <t>OK,NG,NA,OK,OK,OK,OK,OK,OK,OK,OK</t>
    <phoneticPr fontId="2" type="noConversion"/>
  </si>
  <si>
    <t>RECIPEID</t>
    <phoneticPr fontId="2" type="noConversion"/>
  </si>
  <si>
    <t>제품(Lot/Module)의 해당공정에서의 정보 요청</t>
    <phoneticPr fontId="2" type="noConversion"/>
  </si>
  <si>
    <t>PROCID</t>
    <phoneticPr fontId="2" type="noConversion"/>
  </si>
  <si>
    <t>조회 공정 ID</t>
    <phoneticPr fontId="2" type="noConversion"/>
  </si>
  <si>
    <t>Module ID</t>
    <phoneticPr fontId="2" type="noConversion"/>
  </si>
  <si>
    <t>설비 화면에 Display</t>
    <phoneticPr fontId="2" type="noConversion"/>
  </si>
  <si>
    <t>PROCID</t>
    <phoneticPr fontId="2" type="noConversion"/>
  </si>
  <si>
    <t>String</t>
    <phoneticPr fontId="2" type="noConversion"/>
  </si>
  <si>
    <t>EQPID</t>
    <phoneticPr fontId="2" type="noConversion"/>
  </si>
  <si>
    <t>STARTTIME</t>
    <phoneticPr fontId="2" type="noConversion"/>
  </si>
  <si>
    <t>ENDTIME</t>
    <phoneticPr fontId="2" type="noConversion"/>
  </si>
  <si>
    <t>MODULEID</t>
    <phoneticPr fontId="2" type="noConversion"/>
  </si>
  <si>
    <t>String</t>
    <phoneticPr fontId="2" type="noConversion"/>
  </si>
  <si>
    <t>String</t>
    <phoneticPr fontId="2" type="noConversion"/>
  </si>
  <si>
    <t>M_MAKER</t>
    <phoneticPr fontId="2" type="noConversion"/>
  </si>
  <si>
    <t>OPERATORID</t>
    <phoneticPr fontId="2" type="noConversion"/>
  </si>
  <si>
    <t>공정ID</t>
    <phoneticPr fontId="2" type="noConversion"/>
  </si>
  <si>
    <t>설비ID</t>
    <phoneticPr fontId="2" type="noConversion"/>
  </si>
  <si>
    <t>착공시간 (YYYYMMDDhhmmss)</t>
    <phoneticPr fontId="2" type="noConversion"/>
  </si>
  <si>
    <t>완공시간 (YYYYMMDDhhmmss)</t>
    <phoneticPr fontId="2" type="noConversion"/>
  </si>
  <si>
    <t>Lot ID</t>
    <phoneticPr fontId="2" type="noConversion"/>
  </si>
  <si>
    <t>Module ID</t>
    <phoneticPr fontId="2" type="noConversion"/>
  </si>
  <si>
    <t>작업자 사번</t>
    <phoneticPr fontId="2" type="noConversion"/>
  </si>
  <si>
    <t>자재Maker. 자재별 구분자는 ,(콤마)
(자재^Maker,)
자재 :  
DOE
FPCB
HOUSING
TX_LENS
RX_LENS</t>
    <phoneticPr fontId="2" type="noConversion"/>
  </si>
  <si>
    <t>Product Info Request By Proc Report</t>
    <phoneticPr fontId="2" type="noConversion"/>
  </si>
  <si>
    <t>PRODUCT_INFO_DATA_BY_PROCID</t>
    <phoneticPr fontId="2" type="noConversion"/>
  </si>
  <si>
    <t>MODULEID</t>
    <phoneticPr fontId="2" type="noConversion"/>
  </si>
  <si>
    <t>NG일 경우 NG 유형코드</t>
    <phoneticPr fontId="2" type="noConversion"/>
  </si>
  <si>
    <t>김필규 선임</t>
    <phoneticPr fontId="2" type="noConversion"/>
  </si>
  <si>
    <t>김시원 책임</t>
    <phoneticPr fontId="2" type="noConversion"/>
  </si>
  <si>
    <t>박규서 책임</t>
    <phoneticPr fontId="2" type="noConversion"/>
  </si>
  <si>
    <t>Canceled Report</t>
    <phoneticPr fontId="2" type="noConversion"/>
  </si>
  <si>
    <t>작업 취소 시 보고 
(레시피 오토체인지 불가시)</t>
    <phoneticPr fontId="2" type="noConversion"/>
  </si>
  <si>
    <t>PRODID</t>
    <phoneticPr fontId="2" type="noConversion"/>
  </si>
  <si>
    <t>Process ID (공정)</t>
    <phoneticPr fontId="2" type="noConversion"/>
  </si>
  <si>
    <t>Product ID (모델)</t>
    <phoneticPr fontId="2" type="noConversion"/>
  </si>
  <si>
    <t>Inspection Data Request</t>
    <phoneticPr fontId="2" type="noConversion"/>
  </si>
  <si>
    <t>Inspection Data 요청</t>
    <phoneticPr fontId="2" type="noConversion"/>
  </si>
  <si>
    <t>INSPECTION_DATA</t>
    <phoneticPr fontId="2" type="noConversion"/>
  </si>
  <si>
    <t>MODEL</t>
    <phoneticPr fontId="2" type="noConversion"/>
  </si>
  <si>
    <t>MODULEID1</t>
    <phoneticPr fontId="2" type="noConversion"/>
  </si>
  <si>
    <t>RESULT1</t>
    <phoneticPr fontId="2" type="noConversion"/>
  </si>
  <si>
    <t>검사 시간</t>
    <phoneticPr fontId="2" type="noConversion"/>
  </si>
  <si>
    <t>모듈 아이디</t>
    <phoneticPr fontId="2" type="noConversion"/>
  </si>
  <si>
    <t>NGCODE1</t>
    <phoneticPr fontId="2" type="noConversion"/>
  </si>
  <si>
    <t>INSPECTIONTIME1</t>
    <phoneticPr fontId="2" type="noConversion"/>
  </si>
  <si>
    <t>INSPECTIONTIMEn</t>
    <phoneticPr fontId="2" type="noConversion"/>
  </si>
  <si>
    <t>MODULEIDn</t>
    <phoneticPr fontId="2" type="noConversion"/>
  </si>
  <si>
    <t>RESULTn</t>
    <phoneticPr fontId="2" type="noConversion"/>
  </si>
  <si>
    <t>NGCODEn</t>
    <phoneticPr fontId="2" type="noConversion"/>
  </si>
  <si>
    <t>MODEL</t>
    <phoneticPr fontId="2" type="noConversion"/>
  </si>
  <si>
    <t>Tray ID Report</t>
    <phoneticPr fontId="2" type="noConversion"/>
  </si>
  <si>
    <t>Tray ID Reading 시 보고</t>
    <phoneticPr fontId="2" type="noConversion"/>
  </si>
  <si>
    <t xml:space="preserve">Tray In To MGZ Report
</t>
    <phoneticPr fontId="2" type="noConversion"/>
  </si>
  <si>
    <t xml:space="preserve">Tray Out From MGZ Report
</t>
    <phoneticPr fontId="2" type="noConversion"/>
  </si>
  <si>
    <t>MGZ에서 Tray 배출 시 보고</t>
    <phoneticPr fontId="2" type="noConversion"/>
  </si>
  <si>
    <t>MGZ으로 Tray 투입 시 보고</t>
    <phoneticPr fontId="2" type="noConversion"/>
  </si>
  <si>
    <t>MGZID</t>
    <phoneticPr fontId="2" type="noConversion"/>
  </si>
  <si>
    <t>SLOTID</t>
    <phoneticPr fontId="2" type="noConversion"/>
  </si>
  <si>
    <t>TRAYID</t>
    <phoneticPr fontId="2" type="noConversion"/>
  </si>
  <si>
    <t>Tray ID</t>
    <phoneticPr fontId="2" type="noConversion"/>
  </si>
  <si>
    <t>PORTID</t>
    <phoneticPr fontId="2" type="noConversion"/>
  </si>
  <si>
    <t>MGZID</t>
    <phoneticPr fontId="2" type="noConversion"/>
  </si>
  <si>
    <t>TRAYID</t>
    <phoneticPr fontId="2" type="noConversion"/>
  </si>
  <si>
    <t>Tray ID</t>
    <phoneticPr fontId="2" type="noConversion"/>
  </si>
  <si>
    <t>MGZ ID Report</t>
    <phoneticPr fontId="2" type="noConversion"/>
  </si>
  <si>
    <t>RECIPEID</t>
    <phoneticPr fontId="2" type="noConversion"/>
  </si>
  <si>
    <t>Recipe ID</t>
    <phoneticPr fontId="2" type="noConversion"/>
  </si>
  <si>
    <t>RECIPEID</t>
    <phoneticPr fontId="2" type="noConversion"/>
  </si>
  <si>
    <t>Tray Processing Started Report</t>
    <phoneticPr fontId="2" type="noConversion"/>
  </si>
  <si>
    <t xml:space="preserve">Tray Start 이벤트 보고
</t>
    <phoneticPr fontId="2" type="noConversion"/>
  </si>
  <si>
    <t>MGZID</t>
    <phoneticPr fontId="2" type="noConversion"/>
  </si>
  <si>
    <t>SLOTID</t>
    <phoneticPr fontId="2" type="noConversion"/>
  </si>
  <si>
    <t>Tray Processing Completed Report</t>
    <phoneticPr fontId="2" type="noConversion"/>
  </si>
  <si>
    <t>Tray Completed 이벤트 보고</t>
    <phoneticPr fontId="2" type="noConversion"/>
  </si>
  <si>
    <t>Product Processing Completed Report</t>
    <phoneticPr fontId="2" type="noConversion"/>
  </si>
  <si>
    <t>Tray ID</t>
    <phoneticPr fontId="2" type="noConversion"/>
  </si>
  <si>
    <t>TRAY_ID_FAIL</t>
    <phoneticPr fontId="2" type="noConversion"/>
  </si>
  <si>
    <t>TRAY_LOT_START</t>
    <phoneticPr fontId="2" type="noConversion"/>
  </si>
  <si>
    <t>TRAY_ID_CONFIRM</t>
    <phoneticPr fontId="2" type="noConversion"/>
  </si>
  <si>
    <t>MGZ_ID_CONFIRM</t>
    <phoneticPr fontId="2" type="noConversion"/>
  </si>
  <si>
    <t>MGZ_ID_FAIL</t>
    <phoneticPr fontId="2" type="noConversion"/>
  </si>
  <si>
    <t>MGZID</t>
    <phoneticPr fontId="2" type="noConversion"/>
  </si>
  <si>
    <t>TRAYID</t>
    <phoneticPr fontId="2" type="noConversion"/>
  </si>
  <si>
    <t>TRAYID</t>
    <phoneticPr fontId="2" type="noConversion"/>
  </si>
  <si>
    <t>TRAYID</t>
    <phoneticPr fontId="2" type="noConversion"/>
  </si>
  <si>
    <t>LOTID</t>
    <phoneticPr fontId="2" type="noConversion"/>
  </si>
  <si>
    <t>Lot ID</t>
    <phoneticPr fontId="2" type="noConversion"/>
  </si>
  <si>
    <t>Port ID (L=101, U=201, NG=301)</t>
    <phoneticPr fontId="2" type="noConversion"/>
  </si>
  <si>
    <t>FROMMGZ</t>
    <phoneticPr fontId="2" type="noConversion"/>
  </si>
  <si>
    <t>FROMTRAY</t>
    <phoneticPr fontId="2" type="noConversion"/>
  </si>
  <si>
    <t>FROMPOCKET</t>
    <phoneticPr fontId="2" type="noConversion"/>
  </si>
  <si>
    <t>TOMGZ</t>
    <phoneticPr fontId="2" type="noConversion"/>
  </si>
  <si>
    <t>TOTRAY</t>
    <phoneticPr fontId="2" type="noConversion"/>
  </si>
  <si>
    <t>TOPOCKET</t>
    <phoneticPr fontId="2" type="noConversion"/>
  </si>
  <si>
    <t>From MGZ</t>
    <phoneticPr fontId="2" type="noConversion"/>
  </si>
  <si>
    <t>From Tray</t>
    <phoneticPr fontId="2" type="noConversion"/>
  </si>
  <si>
    <t>From Pocket</t>
    <phoneticPr fontId="2" type="noConversion"/>
  </si>
  <si>
    <t>To MGZ</t>
    <phoneticPr fontId="2" type="noConversion"/>
  </si>
  <si>
    <t>To Tray</t>
    <phoneticPr fontId="2" type="noConversion"/>
  </si>
  <si>
    <t>To Pocket</t>
    <phoneticPr fontId="2" type="noConversion"/>
  </si>
  <si>
    <t>TRAYID</t>
    <phoneticPr fontId="2" type="noConversion"/>
  </si>
  <si>
    <t>Tray ID</t>
    <phoneticPr fontId="2" type="noConversion"/>
  </si>
  <si>
    <t>Module ID</t>
    <phoneticPr fontId="2" type="noConversion"/>
  </si>
  <si>
    <t>Recipe ID</t>
    <phoneticPr fontId="2" type="noConversion"/>
  </si>
  <si>
    <t>Operator ID</t>
    <phoneticPr fontId="2" type="noConversion"/>
  </si>
  <si>
    <t>MGZ ID</t>
    <phoneticPr fontId="2" type="noConversion"/>
  </si>
  <si>
    <t>YYYYMMDDhhmmss</t>
    <phoneticPr fontId="2" type="noConversion"/>
  </si>
  <si>
    <t>Pocket No</t>
    <phoneticPr fontId="2" type="noConversion"/>
  </si>
  <si>
    <t>POCKET1</t>
    <phoneticPr fontId="2" type="noConversion"/>
  </si>
  <si>
    <t>POCKETn</t>
    <phoneticPr fontId="2" type="noConversion"/>
  </si>
  <si>
    <t>Equipment State 변경되면 보고 및
Alarm 보고</t>
    <phoneticPr fontId="2" type="noConversion"/>
  </si>
  <si>
    <t>MGZ Removed 시 보고</t>
    <phoneticPr fontId="2" type="noConversion"/>
  </si>
  <si>
    <t>MGZ Removed Report</t>
    <phoneticPr fontId="2" type="noConversion"/>
  </si>
  <si>
    <t>MGZ ID Reading 시 보고</t>
    <phoneticPr fontId="2" type="noConversion"/>
  </si>
  <si>
    <t>LOTID</t>
    <phoneticPr fontId="2" type="noConversion"/>
  </si>
  <si>
    <t>LOT ID</t>
    <phoneticPr fontId="2" type="noConversion"/>
  </si>
  <si>
    <t>X</t>
    <phoneticPr fontId="2" type="noConversion"/>
  </si>
  <si>
    <t>Port ID (L=101, U=201, NG=301)</t>
    <phoneticPr fontId="2" type="noConversion"/>
  </si>
  <si>
    <t>INQTY</t>
    <phoneticPr fontId="2" type="noConversion"/>
  </si>
  <si>
    <t>OUTQTY</t>
    <phoneticPr fontId="2" type="noConversion"/>
  </si>
  <si>
    <t>NGQTY</t>
    <phoneticPr fontId="2" type="noConversion"/>
  </si>
  <si>
    <t>CNS</t>
    <phoneticPr fontId="2" type="noConversion"/>
  </si>
  <si>
    <t>CNS</t>
    <phoneticPr fontId="2" type="noConversion"/>
  </si>
  <si>
    <r>
      <t xml:space="preserve">미사용 맞나요?
-&gt; </t>
    </r>
    <r>
      <rPr>
        <sz val="10"/>
        <color rgb="FFFF0000"/>
        <rFont val="맑은 고딕"/>
        <family val="3"/>
        <charset val="129"/>
      </rPr>
      <t>미사용입니다.</t>
    </r>
    <phoneticPr fontId="2" type="noConversion"/>
  </si>
  <si>
    <t>MGZID</t>
    <phoneticPr fontId="2" type="noConversion"/>
  </si>
  <si>
    <t>MGZ ID</t>
    <phoneticPr fontId="2" type="noConversion"/>
  </si>
  <si>
    <t>X</t>
    <phoneticPr fontId="2" type="noConversion"/>
  </si>
  <si>
    <t>X</t>
    <phoneticPr fontId="2" type="noConversion"/>
  </si>
  <si>
    <t>[JAHWA][SI][설비IF]광학CM_VTask_설비온라인</t>
    <phoneticPr fontId="2" type="noConversion"/>
  </si>
  <si>
    <t>JAHWA Equipment Counter Spec(PC-TYPE(XML))</t>
    <phoneticPr fontId="2" type="noConversion"/>
  </si>
  <si>
    <t>Ver 1.1.0</t>
    <phoneticPr fontId="2" type="noConversion"/>
  </si>
  <si>
    <t>관리부서 : 생산제어AX팀</t>
    <phoneticPr fontId="2" type="noConversion"/>
  </si>
  <si>
    <t>김장훈 총괄</t>
    <phoneticPr fontId="2" type="noConversion"/>
  </si>
  <si>
    <t>자화전자</t>
    <phoneticPr fontId="2" type="noConversion"/>
  </si>
  <si>
    <t>오현학 책임</t>
    <phoneticPr fontId="2" type="noConversion"/>
  </si>
  <si>
    <t>1.4.0</t>
    <phoneticPr fontId="2" type="noConversion"/>
  </si>
  <si>
    <t>신민호 책임</t>
    <phoneticPr fontId="2" type="noConversion"/>
  </si>
  <si>
    <t>OEE 시스템 구축을 위한 이벤트 메시지 추가
1. Event List (S6F11)
  - index 컬럼 추가 및 List 형 데이터 표기방법 변경
  - New Process State Changed Report 추가
  - Equipment Access Mode Changed Report  추가
  - Unit State Changed Report #1 ~ #5 추가
  - Unit Material Count Report 추가
  - Down Action Report 추가</t>
    <phoneticPr fontId="2" type="noConversion"/>
  </si>
  <si>
    <t>Index</t>
    <phoneticPr fontId="2" type="noConversion"/>
  </si>
  <si>
    <t>New Process State Changed Report</t>
    <phoneticPr fontId="2" type="noConversion"/>
  </si>
  <si>
    <t>Equipment State 변경되면 보고</t>
    <phoneticPr fontId="2" type="noConversion"/>
  </si>
  <si>
    <t>PREVNEWEQPSTATE</t>
    <phoneticPr fontId="2" type="noConversion"/>
  </si>
  <si>
    <t>[이전 설비 상태]
1 = RUN
2 = IDLE
3 = DOWN
4 = IDLE STARVED
5 = IDLE BLOCKED</t>
    <phoneticPr fontId="2" type="noConversion"/>
  </si>
  <si>
    <t>CURRNEWEQPSTATE</t>
    <phoneticPr fontId="2" type="noConversion"/>
  </si>
  <si>
    <t>[현재 설비 상태]
1 = RUN
2 = IDLE
3 = DOWN
4 = IDLE STARVED
5 = IDLE BLOCKED</t>
    <phoneticPr fontId="2" type="noConversion"/>
  </si>
  <si>
    <t>ALARMLISTQTY</t>
    <phoneticPr fontId="2" type="noConversion"/>
  </si>
  <si>
    <t>Qty는 Alarm 발생 수량(n) 보고(Aarm ID, Alarm Category, Alarm Text의 3개 데이터가 한 Set)</t>
    <phoneticPr fontId="114" type="noConversion"/>
  </si>
  <si>
    <r>
      <t xml:space="preserve">Alarm Category는 S5,F1의 ALCD와 다른 값이며, </t>
    </r>
    <r>
      <rPr>
        <sz val="10"/>
        <color rgb="FFFF0000"/>
        <rFont val="맑은 고딕"/>
        <family val="3"/>
        <charset val="129"/>
      </rPr>
      <t>Category 유형은 자화전자 담당자와 별도 협의 필요</t>
    </r>
    <r>
      <rPr>
        <sz val="10"/>
        <rFont val="맑은 고딕"/>
        <family val="3"/>
        <charset val="129"/>
      </rPr>
      <t xml:space="preserve">
</t>
    </r>
    <phoneticPr fontId="2" type="noConversion"/>
  </si>
  <si>
    <t>ALARMID#1</t>
    <phoneticPr fontId="2" type="noConversion"/>
  </si>
  <si>
    <t>DOWN 시 발생한 Alarm ID #1</t>
    <phoneticPr fontId="2" type="noConversion"/>
  </si>
  <si>
    <t>ALARMCATEGORY#1</t>
    <phoneticPr fontId="2" type="noConversion"/>
  </si>
  <si>
    <t>DOWN 시 발생한 Alarm Category #1
11 = 비가동 중 알람
21 = 경알람 (Light Alarm)
31 = 품질 관련 알람 (Heavy Alarm)
32 = 생산 관련 알람 (Heavy Alarm)
33 = 설비 Trouble (Heavy Alarm)</t>
    <phoneticPr fontId="2" type="noConversion"/>
  </si>
  <si>
    <t>ALARMTEXT#1</t>
    <phoneticPr fontId="2" type="noConversion"/>
  </si>
  <si>
    <t>DOWN 시 발생한 Alarm Text #1</t>
    <phoneticPr fontId="2" type="noConversion"/>
  </si>
  <si>
    <t>⁝</t>
    <phoneticPr fontId="2" type="noConversion"/>
  </si>
  <si>
    <t>3+(3n-2)</t>
    <phoneticPr fontId="2" type="noConversion"/>
  </si>
  <si>
    <t>ALARMID#n</t>
    <phoneticPr fontId="2" type="noConversion"/>
  </si>
  <si>
    <t>DOWN 시 발생한 Alarm ID #n</t>
    <phoneticPr fontId="2" type="noConversion"/>
  </si>
  <si>
    <t>3+(3n-1)</t>
    <phoneticPr fontId="2" type="noConversion"/>
  </si>
  <si>
    <t>ALARMCATEGORY#n</t>
    <phoneticPr fontId="2" type="noConversion"/>
  </si>
  <si>
    <t>DOWN 시 발생한 Alarm Category #n
11 = 비가동 중 알람
21 = 경알람 (Light Alarm)
31 = 품질 관련 알람 (Heavy Alarm)
32 = 생산 관련 알람 (Heavy Alarm)
33 = 설비 Trouble (Heavy Alarm)</t>
    <phoneticPr fontId="2" type="noConversion"/>
  </si>
  <si>
    <t>3+(3n)</t>
    <phoneticPr fontId="2" type="noConversion"/>
  </si>
  <si>
    <t>ALARMTEXT#n</t>
    <phoneticPr fontId="2" type="noConversion"/>
  </si>
  <si>
    <t>DOWN 시 발생한 Alarm Text #n</t>
    <phoneticPr fontId="2" type="noConversion"/>
  </si>
  <si>
    <t>Equipment Access Mode Changed Report</t>
    <phoneticPr fontId="2" type="noConversion"/>
  </si>
  <si>
    <t>설비 Access mode(OP, Maint, Eng_Vendor, Eng_MI, Engineer, Admin)가 변경되면 보고</t>
    <phoneticPr fontId="2" type="noConversion"/>
  </si>
  <si>
    <t>EQUIPMENTACCESSMODE</t>
    <phoneticPr fontId="2" type="noConversion"/>
  </si>
  <si>
    <t>&lt;Equipment Access Mode&gt;
0 = Undefined
1 = OP
2 = Maint
3 = Eng_Vendor
4 = Eng_MI
5 = Engineer
6 = Admin
&gt;6  Reserved</t>
    <phoneticPr fontId="2" type="noConversion"/>
  </si>
  <si>
    <t>Unit State Changed Report</t>
    <phoneticPr fontId="2" type="noConversion"/>
  </si>
  <si>
    <t>Unit(설비모듈)별 Equipment State 변경되면 보고</t>
    <phoneticPr fontId="2" type="noConversion"/>
  </si>
  <si>
    <t>UNITLISTQTY</t>
    <phoneticPr fontId="2" type="noConversion"/>
  </si>
  <si>
    <t>Qty는 Unit(설비모듈) 수량(n) 보고
(Unit ID, Unit State의 2개 데이터가 한 Set)</t>
    <phoneticPr fontId="2" type="noConversion"/>
  </si>
  <si>
    <t>UNITID#1</t>
    <phoneticPr fontId="2" type="noConversion"/>
  </si>
  <si>
    <t>Unit ID #1</t>
    <phoneticPr fontId="2" type="noConversion"/>
  </si>
  <si>
    <t>Unit 구분 기준과 Unit ID는 자화전자 담당자와 별도 협의 필요</t>
    <phoneticPr fontId="2" type="noConversion"/>
  </si>
  <si>
    <t>UNITSTATE#1</t>
    <phoneticPr fontId="2" type="noConversion"/>
  </si>
  <si>
    <t>Unit State #1 (Unit별 설비 상태)
1 = RUN
2 = IDLE
3 = DOWN
4 = IDLE STARVED
5 = IDLE BLOCKED</t>
    <phoneticPr fontId="2" type="noConversion"/>
  </si>
  <si>
    <t>2+(2n-1)</t>
    <phoneticPr fontId="2" type="noConversion"/>
  </si>
  <si>
    <t>UNITID#n</t>
    <phoneticPr fontId="2" type="noConversion"/>
  </si>
  <si>
    <t>Unit ID #n</t>
    <phoneticPr fontId="2" type="noConversion"/>
  </si>
  <si>
    <t>2+(2n)</t>
    <phoneticPr fontId="2" type="noConversion"/>
  </si>
  <si>
    <t>UNITSTATE#n</t>
    <phoneticPr fontId="2" type="noConversion"/>
  </si>
  <si>
    <t>Unit State #n (Unit별 설비 상태)
1 = RUN
2 = IDLE
3 = DOWN
4 = IDLE STARVED
5 = IDLE BLOCKED</t>
    <phoneticPr fontId="2" type="noConversion"/>
  </si>
  <si>
    <t>Unit Material Count Report #1</t>
    <phoneticPr fontId="2" type="noConversion"/>
  </si>
  <si>
    <t>Unit(설비모듈)별 진행한 자재 수량을 보고</t>
    <phoneticPr fontId="2" type="noConversion"/>
  </si>
  <si>
    <t>보고 시점 또는 주기는 자화전자 담당자와 별도 협의 필요
설비 Unit 구분에 따라 이벤트 메시지의 개수는 변경될 수 있음</t>
    <phoneticPr fontId="2" type="noConversion"/>
  </si>
  <si>
    <t>UNITID</t>
    <phoneticPr fontId="2" type="noConversion"/>
  </si>
  <si>
    <t>Unit ID</t>
    <phoneticPr fontId="2" type="noConversion"/>
  </si>
  <si>
    <t>자재 유형 코드 및 Slot Number는 자화전자 담당자와 별도 협의 필요</t>
    <phoneticPr fontId="2" type="noConversion"/>
  </si>
  <si>
    <t>MATERIALCOUNTLISTQTY</t>
    <phoneticPr fontId="2" type="noConversion"/>
  </si>
  <si>
    <t>Qty는 자재 종류 수량(n)을 보고
(아래 5개의 데이터가 한 Set)</t>
    <phoneticPr fontId="2" type="noConversion"/>
  </si>
  <si>
    <t>MATERIALTYPE#1</t>
    <phoneticPr fontId="2" type="noConversion"/>
  </si>
  <si>
    <t>Material Type (자재 유형 코드)</t>
    <phoneticPr fontId="2" type="noConversion"/>
  </si>
  <si>
    <t>SLOTNO#1</t>
    <phoneticPr fontId="2" type="noConversion"/>
  </si>
  <si>
    <t>하나의 Unit에 같은 자재 유형이 존재하는 경우의 Slot Number로 구분</t>
    <phoneticPr fontId="2" type="noConversion"/>
  </si>
  <si>
    <t>INPUTMATERIALCOUNT#1</t>
    <phoneticPr fontId="2" type="noConversion"/>
  </si>
  <si>
    <t>자재 투입 수량</t>
  </si>
  <si>
    <t>GOODMATERIALCOUNT#1</t>
    <phoneticPr fontId="2" type="noConversion"/>
  </si>
  <si>
    <t>자재 배출 수량 (OK)</t>
  </si>
  <si>
    <t>NGMATERIALCOUNT#1</t>
    <phoneticPr fontId="2" type="noConversion"/>
  </si>
  <si>
    <t>자재 배출 수량 (NG)</t>
  </si>
  <si>
    <t>3+(5n-4)</t>
  </si>
  <si>
    <t>MATERIALTYPE#n</t>
    <phoneticPr fontId="2" type="noConversion"/>
  </si>
  <si>
    <t>3+(5n-3)</t>
  </si>
  <si>
    <t>SLOTNO#n</t>
    <phoneticPr fontId="2" type="noConversion"/>
  </si>
  <si>
    <t>3+(5n-2)</t>
  </si>
  <si>
    <t>INPUTMATERIALCOUNT#n</t>
    <phoneticPr fontId="2" type="noConversion"/>
  </si>
  <si>
    <t>3+(5n-1)</t>
  </si>
  <si>
    <t>GOODMATERIALCOUNT#n</t>
    <phoneticPr fontId="2" type="noConversion"/>
  </si>
  <si>
    <t>3+(5n)</t>
  </si>
  <si>
    <t>NGMATERIALCOUNT#n</t>
  </si>
  <si>
    <t>Unit Material Count Report #2</t>
    <phoneticPr fontId="2" type="noConversion"/>
  </si>
  <si>
    <t>Unit Material Count Report #3</t>
    <phoneticPr fontId="2" type="noConversion"/>
  </si>
  <si>
    <t>3+(5n-4)</t>
    <phoneticPr fontId="2" type="noConversion"/>
  </si>
  <si>
    <t>Unit Material Count Report #4</t>
    <phoneticPr fontId="2" type="noConversion"/>
  </si>
  <si>
    <t>Unit Material Count Report #5</t>
    <phoneticPr fontId="2" type="noConversion"/>
  </si>
  <si>
    <t>Down Action Report</t>
    <phoneticPr fontId="2" type="noConversion"/>
  </si>
  <si>
    <t>ACTIONDESCRIPTION</t>
    <phoneticPr fontId="2" type="noConversion"/>
  </si>
  <si>
    <t>Down 발생 후 조치 내역 Text</t>
    <phoneticPr fontId="2" type="noConversion"/>
  </si>
  <si>
    <t>DOWNSTARTTIME</t>
    <phoneticPr fontId="2" type="noConversion"/>
  </si>
  <si>
    <t>Down Start Time (Down 발생 시간)</t>
    <phoneticPr fontId="2" type="noConversion"/>
  </si>
  <si>
    <t>DOWNENDTIME</t>
    <phoneticPr fontId="2" type="noConversion"/>
  </si>
  <si>
    <t>Down End Time (Down 조치 완료 시간)</t>
    <phoneticPr fontId="2" type="noConversion"/>
  </si>
  <si>
    <t>Qty는 Alarm 발생 수량(n) 보고(Aarm ID, Alarm Category, Alarm Text의 3개 데이터가 한 Set)</t>
  </si>
  <si>
    <t>ALARMID#1</t>
  </si>
  <si>
    <t>DOWN 시 발생한 Alarm ID #1</t>
  </si>
  <si>
    <t>DOWN 시 발생한 Alarm Category #1
11 = 비가동 중 알람
21 = 경알람 (Light Alarm)
31 = 품질 관련 알람 (Heavy Alarm)
32 = 생산 관련 알람 (Heavy Alarm)
33 = 설비 Trouble (Heavy Alarm)</t>
  </si>
  <si>
    <t>ALARMTEXT#1</t>
  </si>
  <si>
    <t>DOWN 시 발생한 Alarm Text #1</t>
  </si>
  <si>
    <t>⁝</t>
  </si>
  <si>
    <t>5+(3n-2)</t>
    <phoneticPr fontId="2" type="noConversion"/>
  </si>
  <si>
    <t>ALARMID#n</t>
  </si>
  <si>
    <t>DOWN 시 발생한 Alarm ID #n</t>
  </si>
  <si>
    <t>5+(3n-1)</t>
    <phoneticPr fontId="2" type="noConversion"/>
  </si>
  <si>
    <t>DOWN 시 발생한 Alarm Category #n
11 = 비가동 중 알람
21 = 경알람 (Light Alarm)
31 = 품질 관련 알람 (Heavy Alarm)
32 = 생산 관련 알람 (Heavy Alarm)
33 = 설비 Trouble (Heavy Alarm)</t>
  </si>
  <si>
    <t>5+(3n)</t>
    <phoneticPr fontId="2" type="noConversion"/>
  </si>
  <si>
    <t>DOWN 시 발생한 Alarm Text #n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</si>
</sst>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yyyy&quot;/&quot;mm&quot;/&quot;dd"/>
    <numFmt numFmtId="177" formatCode="_ * #,##0_ ;_ * \-#,##0_ ;_ * &quot;-&quot;_ ;_ @_ "/>
    <numFmt numFmtId="178" formatCode="_ * #,##0.00_ ;_ * \-#,##0.00_ ;_ * &quot;-&quot;??_ ;_ @_ "/>
    <numFmt numFmtId="179" formatCode="_ &quot;₩&quot;* #,##0_ ;_ &quot;₩&quot;* \-#,##0_ ;_ &quot;₩&quot;* &quot;-&quot;_ ;_ @_ "/>
    <numFmt numFmtId="180" formatCode="_ &quot;₩&quot;* #,##0.00_ ;_ &quot;₩&quot;* \-#,##0.00_ ;_ &quot;₩&quot;* &quot;-&quot;??_ ;_ @_ 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 * #,##0_ ;_ * &quot;₩&quot;&quot;₩&quot;\-#,##0_ ;_ * &quot;-&quot;_ ;_ @_ 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&quot;₩&quot;#,##0;[Red]&quot;₩&quot;&quot;₩&quot;&quot;₩&quot;&quot;₩&quot;&quot;₩&quot;&quot;₩&quot;&quot;₩&quot;&quot;₩&quot;&quot;₩&quot;\-&quot;₩&quot;#,##0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\ _F_-;\-* #,##0\ _F_-;_-* &quot;-&quot;\ _F_-;_-@_-"/>
    <numFmt numFmtId="188" formatCode="_ * #,##0.00_ ;_ * &quot;₩&quot;&quot;₩&quot;\-#,##0.00_ ;_ * &quot;-&quot;??_ ;_ @_ "/>
  </numFmts>
  <fonts count="11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1"/>
      <color indexed="16"/>
      <name val="돋움"/>
      <family val="3"/>
      <charset val="129"/>
    </font>
    <font>
      <sz val="8"/>
      <name val="¹UAAA¼"/>
      <family val="1"/>
      <charset val="129"/>
    </font>
    <font>
      <b/>
      <sz val="11"/>
      <color indexed="53"/>
      <name val="돋움"/>
      <family val="3"/>
      <charset val="129"/>
    </font>
    <font>
      <b/>
      <sz val="10"/>
      <name val="Helv"/>
      <family val="2"/>
    </font>
    <font>
      <b/>
      <sz val="11"/>
      <color indexed="9"/>
      <name val="돋움"/>
      <family val="3"/>
      <charset val="129"/>
    </font>
    <font>
      <b/>
      <sz val="16"/>
      <name val="Arial"/>
      <family val="2"/>
    </font>
    <font>
      <sz val="1"/>
      <color indexed="8"/>
      <name val="Courier"/>
      <family val="3"/>
    </font>
    <font>
      <sz val="11"/>
      <name val="￥i￠￢￠?o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u/>
      <sz val="10"/>
      <color indexed="12"/>
      <name val="MS Sans Serif"/>
      <family val="2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b/>
      <sz val="11"/>
      <name val="Helv"/>
      <family val="2"/>
    </font>
    <font>
      <sz val="11"/>
      <color indexed="60"/>
      <name val="돋움"/>
      <family val="3"/>
      <charset val="129"/>
    </font>
    <font>
      <sz val="7"/>
      <name val="Small Fonts"/>
      <family val="2"/>
    </font>
    <font>
      <sz val="11"/>
      <name val="돋움체"/>
      <family val="3"/>
      <charset val="129"/>
    </font>
    <font>
      <b/>
      <sz val="11"/>
      <color indexed="63"/>
      <name val="돋움"/>
      <family val="3"/>
      <charset val="129"/>
    </font>
    <font>
      <sz val="10"/>
      <color indexed="8"/>
      <name val="Arial"/>
      <family val="2"/>
    </font>
    <font>
      <b/>
      <sz val="18"/>
      <color indexed="62"/>
      <name val="맑은 고딕"/>
      <family val="3"/>
      <charset val="129"/>
    </font>
    <font>
      <sz val="11"/>
      <color indexed="10"/>
      <name val="돋움"/>
      <family val="3"/>
      <charset val="129"/>
    </font>
    <font>
      <sz val="12"/>
      <name val="μ¸¿oA¼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9"/>
      <color indexed="8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μ¸¿o"/>
      <family val="3"/>
      <charset val="129"/>
    </font>
    <font>
      <sz val="11"/>
      <name val="μ¸¿oA¼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10"/>
      <color indexed="64"/>
      <name val="Arial"/>
      <family val="2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1"/>
      <name val="ＭＳ 明朝"/>
      <family val="3"/>
    </font>
    <font>
      <sz val="9"/>
      <name val="돋움"/>
      <family val="3"/>
      <charset val="129"/>
    </font>
    <font>
      <sz val="11"/>
      <name val="돋움"/>
      <family val="3"/>
    </font>
    <font>
      <sz val="10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7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돋움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7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Tahoma"/>
      <family val="3"/>
      <charset val="1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E7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 style="thin">
        <color rgb="FF4D4D4D"/>
      </left>
      <right/>
      <top style="thin">
        <color rgb="FF4D4D4D"/>
      </top>
      <bottom/>
      <diagonal/>
    </border>
    <border>
      <left/>
      <right/>
      <top style="thin">
        <color rgb="FF4D4D4D"/>
      </top>
      <bottom/>
      <diagonal/>
    </border>
    <border>
      <left/>
      <right style="thin">
        <color rgb="FF4D4D4D"/>
      </right>
      <top style="thin">
        <color rgb="FF4D4D4D"/>
      </top>
      <bottom/>
      <diagonal/>
    </border>
    <border>
      <left style="thin">
        <color rgb="FF4D4D4D"/>
      </left>
      <right/>
      <top/>
      <bottom/>
      <diagonal/>
    </border>
    <border>
      <left/>
      <right style="thin">
        <color rgb="FF4D4D4D"/>
      </right>
      <top/>
      <bottom/>
      <diagonal/>
    </border>
    <border>
      <left style="thin">
        <color rgb="FF4D4D4D"/>
      </left>
      <right/>
      <top/>
      <bottom style="thin">
        <color rgb="FF4D4D4D"/>
      </bottom>
      <diagonal/>
    </border>
    <border>
      <left/>
      <right/>
      <top/>
      <bottom style="thin">
        <color rgb="FF4D4D4D"/>
      </bottom>
      <diagonal/>
    </border>
    <border>
      <left/>
      <right style="thin">
        <color rgb="FF4D4D4D"/>
      </right>
      <top/>
      <bottom style="thin">
        <color rgb="FF4D4D4D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0" fontId="11" fillId="0" borderId="0"/>
    <xf numFmtId="0" fontId="14" fillId="0" borderId="0"/>
    <xf numFmtId="0" fontId="1" fillId="0" borderId="0"/>
    <xf numFmtId="0" fontId="3" fillId="0" borderId="0"/>
    <xf numFmtId="0" fontId="11" fillId="0" borderId="0"/>
    <xf numFmtId="0" fontId="14" fillId="0" borderId="0"/>
    <xf numFmtId="0" fontId="14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1" fillId="0" borderId="0"/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9" borderId="0" applyNumberFormat="0" applyBorder="0" applyAlignment="0" applyProtection="0"/>
    <xf numFmtId="0" fontId="19" fillId="23" borderId="0" applyNumberFormat="0" applyBorder="0" applyAlignment="0" applyProtection="0"/>
    <xf numFmtId="0" fontId="19" fillId="30" borderId="0" applyNumberFormat="0" applyBorder="0" applyAlignment="0" applyProtection="0"/>
    <xf numFmtId="0" fontId="18" fillId="30" borderId="0" applyNumberFormat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2" fillId="31" borderId="0" applyNumberFormat="0" applyBorder="0" applyAlignment="0" applyProtection="0"/>
    <xf numFmtId="0" fontId="11" fillId="0" borderId="0"/>
    <xf numFmtId="0" fontId="23" fillId="0" borderId="0"/>
    <xf numFmtId="0" fontId="24" fillId="32" borderId="37" applyNumberFormat="0" applyAlignment="0" applyProtection="0"/>
    <xf numFmtId="0" fontId="25" fillId="0" borderId="0"/>
    <xf numFmtId="0" fontId="26" fillId="25" borderId="38" applyNumberFormat="0" applyAlignment="0" applyProtection="0"/>
    <xf numFmtId="0" fontId="27" fillId="0" borderId="0">
      <alignment vertical="top" wrapText="1"/>
    </xf>
    <xf numFmtId="4" fontId="28" fillId="0" borderId="0">
      <protection locked="0"/>
    </xf>
    <xf numFmtId="177" fontId="11" fillId="0" borderId="0" applyFont="0" applyFill="0" applyBorder="0" applyAlignment="0" applyProtection="0"/>
    <xf numFmtId="181" fontId="1" fillId="0" borderId="0"/>
    <xf numFmtId="178" fontId="11" fillId="0" borderId="0" applyFont="0" applyFill="0" applyBorder="0" applyAlignment="0" applyProtection="0"/>
    <xf numFmtId="182" fontId="29" fillId="0" borderId="0">
      <protection locked="0"/>
    </xf>
    <xf numFmtId="183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85" fontId="1" fillId="0" borderId="0"/>
    <xf numFmtId="186" fontId="1" fillId="0" borderId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1" fillId="26" borderId="0" applyNumberFormat="0" applyBorder="0" applyAlignment="0" applyProtection="0"/>
    <xf numFmtId="38" fontId="32" fillId="4" borderId="0" applyNumberFormat="0" applyBorder="0" applyAlignment="0" applyProtection="0"/>
    <xf numFmtId="0" fontId="33" fillId="0" borderId="0">
      <alignment horizontal="left"/>
    </xf>
    <xf numFmtId="0" fontId="34" fillId="0" borderId="3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40" applyNumberFormat="0" applyFill="0" applyAlignment="0" applyProtection="0"/>
    <xf numFmtId="0" fontId="36" fillId="0" borderId="41" applyNumberFormat="0" applyFill="0" applyAlignment="0" applyProtection="0"/>
    <xf numFmtId="0" fontId="37" fillId="0" borderId="42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30" borderId="37" applyNumberFormat="0" applyAlignment="0" applyProtection="0"/>
    <xf numFmtId="10" fontId="32" fillId="36" borderId="1" applyNumberFormat="0" applyBorder="0" applyAlignment="0" applyProtection="0"/>
    <xf numFmtId="0" fontId="40" fillId="0" borderId="43" applyNumberFormat="0" applyFill="0" applyAlignment="0" applyProtection="0"/>
    <xf numFmtId="0" fontId="41" fillId="0" borderId="44"/>
    <xf numFmtId="0" fontId="42" fillId="37" borderId="0" applyNumberFormat="0" applyBorder="0" applyAlignment="0" applyProtection="0"/>
    <xf numFmtId="37" fontId="43" fillId="0" borderId="0"/>
    <xf numFmtId="187" fontId="3" fillId="0" borderId="0"/>
    <xf numFmtId="0" fontId="11" fillId="0" borderId="0"/>
    <xf numFmtId="0" fontId="1" fillId="23" borderId="45" applyNumberFormat="0" applyFont="0" applyAlignment="0" applyProtection="0"/>
    <xf numFmtId="0" fontId="44" fillId="0" borderId="0" applyFont="0" applyFill="0" applyBorder="0" applyAlignment="0" applyProtection="0"/>
    <xf numFmtId="0" fontId="45" fillId="32" borderId="46" applyNumberFormat="0" applyAlignment="0" applyProtection="0"/>
    <xf numFmtId="188" fontId="29" fillId="0" borderId="0">
      <protection locked="0"/>
    </xf>
    <xf numFmtId="10" fontId="11" fillId="0" borderId="0" applyFont="0" applyFill="0" applyBorder="0" applyAlignment="0" applyProtection="0"/>
    <xf numFmtId="4" fontId="46" fillId="38" borderId="47" applyNumberFormat="0" applyProtection="0">
      <alignment horizontal="right" vertical="center"/>
    </xf>
    <xf numFmtId="0" fontId="47" fillId="0" borderId="0" applyNumberFormat="0" applyFill="0" applyBorder="0" applyAlignment="0" applyProtection="0"/>
    <xf numFmtId="0" fontId="41" fillId="0" borderId="0"/>
    <xf numFmtId="0" fontId="30" fillId="0" borderId="48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3" borderId="37" applyNumberFormat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1" fillId="45" borderId="45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46" borderId="38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8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" fillId="0" borderId="0"/>
    <xf numFmtId="0" fontId="60" fillId="0" borderId="43" applyNumberFormat="0" applyFill="0" applyAlignment="0" applyProtection="0">
      <alignment vertical="center"/>
    </xf>
    <xf numFmtId="0" fontId="61" fillId="0" borderId="49" applyNumberFormat="0" applyFill="0" applyAlignment="0" applyProtection="0">
      <alignment vertical="center"/>
    </xf>
    <xf numFmtId="0" fontId="62" fillId="10" borderId="37" applyNumberFormat="0" applyAlignment="0" applyProtection="0">
      <alignment vertical="center"/>
    </xf>
    <xf numFmtId="3" fontId="63" fillId="0" borderId="0" applyFont="0" applyFill="0" applyBorder="0" applyAlignment="0" applyProtection="0"/>
    <xf numFmtId="0" fontId="64" fillId="0" borderId="50" applyNumberFormat="0" applyFill="0" applyAlignment="0" applyProtection="0">
      <alignment vertical="center"/>
    </xf>
    <xf numFmtId="0" fontId="65" fillId="0" borderId="41" applyNumberFormat="0" applyFill="0" applyAlignment="0" applyProtection="0">
      <alignment vertical="center"/>
    </xf>
    <xf numFmtId="0" fontId="66" fillId="0" borderId="51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69" fillId="43" borderId="46" applyNumberFormat="0" applyAlignment="0" applyProtection="0">
      <alignment vertical="center"/>
    </xf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2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55" fillId="0" borderId="0">
      <alignment vertical="center"/>
    </xf>
    <xf numFmtId="0" fontId="1" fillId="0" borderId="0">
      <alignment vertical="center"/>
    </xf>
    <xf numFmtId="0" fontId="73" fillId="0" borderId="0"/>
    <xf numFmtId="0" fontId="55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/>
    <xf numFmtId="0" fontId="84" fillId="0" borderId="0"/>
    <xf numFmtId="0" fontId="3" fillId="0" borderId="0"/>
    <xf numFmtId="0" fontId="1" fillId="0" borderId="0">
      <alignment vertical="center"/>
    </xf>
    <xf numFmtId="0" fontId="8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81">
    <xf numFmtId="0" fontId="0" fillId="0" borderId="0" xfId="0">
      <alignment vertical="center"/>
    </xf>
    <xf numFmtId="0" fontId="6" fillId="2" borderId="2" xfId="3" applyFont="1" applyFill="1" applyBorder="1" applyAlignment="1">
      <alignment vertical="center"/>
    </xf>
    <xf numFmtId="0" fontId="6" fillId="2" borderId="3" xfId="3" applyFont="1" applyFill="1" applyBorder="1" applyAlignment="1">
      <alignment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vertical="center"/>
    </xf>
    <xf numFmtId="0" fontId="6" fillId="2" borderId="0" xfId="3" applyFont="1" applyFill="1" applyAlignment="1">
      <alignment vertical="center"/>
    </xf>
    <xf numFmtId="0" fontId="7" fillId="2" borderId="4" xfId="3" applyFont="1" applyFill="1" applyBorder="1" applyAlignment="1">
      <alignment vertical="center"/>
    </xf>
    <xf numFmtId="0" fontId="7" fillId="2" borderId="9" xfId="3" applyFont="1" applyFill="1" applyBorder="1" applyAlignment="1">
      <alignment vertical="center"/>
    </xf>
    <xf numFmtId="0" fontId="7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6" fillId="2" borderId="4" xfId="3" applyFont="1" applyFill="1" applyBorder="1" applyAlignment="1">
      <alignment vertical="center"/>
    </xf>
    <xf numFmtId="0" fontId="6" fillId="2" borderId="10" xfId="3" applyFont="1" applyFill="1" applyBorder="1" applyAlignment="1">
      <alignment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vertical="center"/>
    </xf>
    <xf numFmtId="0" fontId="6" fillId="2" borderId="4" xfId="3" applyFont="1" applyFill="1" applyBorder="1" applyAlignment="1">
      <alignment vertical="top"/>
    </xf>
    <xf numFmtId="49" fontId="10" fillId="2" borderId="1" xfId="3" applyNumberFormat="1" applyFont="1" applyFill="1" applyBorder="1" applyAlignment="1">
      <alignment horizontal="center" vertical="center"/>
    </xf>
    <xf numFmtId="14" fontId="10" fillId="2" borderId="1" xfId="3" applyNumberFormat="1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left" vertical="center" indent="1"/>
    </xf>
    <xf numFmtId="0" fontId="10" fillId="2" borderId="1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vertical="top"/>
    </xf>
    <xf numFmtId="0" fontId="6" fillId="2" borderId="0" xfId="3" applyFont="1" applyFill="1" applyAlignment="1">
      <alignment vertical="top"/>
    </xf>
    <xf numFmtId="0" fontId="10" fillId="2" borderId="0" xfId="3" applyFont="1" applyFill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0" fontId="10" fillId="2" borderId="0" xfId="3" applyFont="1" applyFill="1" applyAlignment="1">
      <alignment horizontal="left" vertical="center" indent="1"/>
    </xf>
    <xf numFmtId="0" fontId="10" fillId="2" borderId="25" xfId="3" applyFont="1" applyFill="1" applyBorder="1" applyAlignment="1">
      <alignment horizontal="center" vertical="center"/>
    </xf>
    <xf numFmtId="14" fontId="10" fillId="2" borderId="25" xfId="3" applyNumberFormat="1" applyFont="1" applyFill="1" applyBorder="1" applyAlignment="1">
      <alignment horizontal="center" vertical="center"/>
    </xf>
    <xf numFmtId="0" fontId="10" fillId="2" borderId="25" xfId="3" applyFont="1" applyFill="1" applyBorder="1" applyAlignment="1">
      <alignment horizontal="left" vertical="center" indent="1"/>
    </xf>
    <xf numFmtId="0" fontId="6" fillId="2" borderId="11" xfId="3" applyFont="1" applyFill="1" applyBorder="1" applyAlignment="1">
      <alignment vertical="top"/>
    </xf>
    <xf numFmtId="0" fontId="6" fillId="2" borderId="10" xfId="3" applyFont="1" applyFill="1" applyBorder="1" applyAlignment="1">
      <alignment horizontal="center" vertical="top"/>
    </xf>
    <xf numFmtId="176" fontId="6" fillId="2" borderId="10" xfId="3" applyNumberFormat="1" applyFont="1" applyFill="1" applyBorder="1" applyAlignment="1">
      <alignment horizontal="center" vertical="top"/>
    </xf>
    <xf numFmtId="0" fontId="6" fillId="2" borderId="10" xfId="3" applyFont="1" applyFill="1" applyBorder="1" applyAlignment="1">
      <alignment vertical="top"/>
    </xf>
    <xf numFmtId="0" fontId="6" fillId="2" borderId="12" xfId="3" applyFont="1" applyFill="1" applyBorder="1" applyAlignment="1">
      <alignment vertical="top"/>
    </xf>
    <xf numFmtId="0" fontId="6" fillId="2" borderId="0" xfId="3" applyFont="1" applyFill="1" applyAlignment="1">
      <alignment horizontal="center" vertical="top"/>
    </xf>
    <xf numFmtId="176" fontId="6" fillId="2" borderId="0" xfId="3" applyNumberFormat="1" applyFont="1" applyFill="1" applyAlignment="1">
      <alignment horizontal="center" vertical="top"/>
    </xf>
    <xf numFmtId="0" fontId="10" fillId="2" borderId="35" xfId="3" applyFont="1" applyFill="1" applyBorder="1" applyAlignment="1">
      <alignment horizontal="center" vertical="center"/>
    </xf>
    <xf numFmtId="49" fontId="10" fillId="2" borderId="36" xfId="3" applyNumberFormat="1" applyFont="1" applyFill="1" applyBorder="1" applyAlignment="1">
      <alignment horizontal="center" vertical="center"/>
    </xf>
    <xf numFmtId="14" fontId="10" fillId="2" borderId="36" xfId="3" applyNumberFormat="1" applyFont="1" applyFill="1" applyBorder="1" applyAlignment="1">
      <alignment horizontal="center" vertical="center"/>
    </xf>
    <xf numFmtId="0" fontId="10" fillId="2" borderId="36" xfId="3" applyFont="1" applyFill="1" applyBorder="1" applyAlignment="1">
      <alignment horizontal="left" vertical="center" indent="1"/>
    </xf>
    <xf numFmtId="0" fontId="10" fillId="2" borderId="36" xfId="3" applyFont="1" applyFill="1" applyBorder="1" applyAlignment="1">
      <alignment horizontal="center" vertical="center"/>
    </xf>
    <xf numFmtId="0" fontId="10" fillId="2" borderId="34" xfId="3" applyFont="1" applyFill="1" applyBorder="1" applyAlignment="1">
      <alignment horizontal="center" vertical="center"/>
    </xf>
    <xf numFmtId="14" fontId="10" fillId="2" borderId="1" xfId="3" quotePrefix="1" applyNumberFormat="1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right" vertical="center"/>
    </xf>
    <xf numFmtId="0" fontId="74" fillId="0" borderId="0" xfId="296" applyFont="1" applyAlignment="1">
      <alignment horizontal="left" vertical="top"/>
    </xf>
    <xf numFmtId="0" fontId="77" fillId="0" borderId="0" xfId="0" applyFont="1" applyAlignment="1">
      <alignment vertical="top"/>
    </xf>
    <xf numFmtId="0" fontId="77" fillId="0" borderId="0" xfId="0" applyFont="1">
      <alignment vertical="center"/>
    </xf>
    <xf numFmtId="0" fontId="77" fillId="0" borderId="1" xfId="0" applyFont="1" applyBorder="1" applyAlignment="1">
      <alignment vertical="top"/>
    </xf>
    <xf numFmtId="0" fontId="77" fillId="0" borderId="1" xfId="0" applyFont="1" applyBorder="1" applyAlignment="1">
      <alignment vertical="top" wrapText="1"/>
    </xf>
    <xf numFmtId="0" fontId="78" fillId="0" borderId="0" xfId="297" applyFont="1" applyProtection="1">
      <alignment vertical="center"/>
      <protection locked="0"/>
    </xf>
    <xf numFmtId="0" fontId="78" fillId="0" borderId="0" xfId="0" applyFont="1">
      <alignment vertical="center"/>
    </xf>
    <xf numFmtId="49" fontId="79" fillId="0" borderId="0" xfId="0" applyNumberFormat="1" applyFont="1" applyAlignment="1">
      <alignment horizontal="left" vertical="top" wrapText="1"/>
    </xf>
    <xf numFmtId="0" fontId="78" fillId="0" borderId="0" xfId="0" applyFont="1" applyAlignment="1">
      <alignment vertical="top"/>
    </xf>
    <xf numFmtId="0" fontId="10" fillId="0" borderId="0" xfId="0" applyFont="1">
      <alignment vertical="center"/>
    </xf>
    <xf numFmtId="49" fontId="74" fillId="0" borderId="0" xfId="0" applyNumberFormat="1" applyFont="1" applyAlignment="1">
      <alignment horizontal="left" vertical="center" wrapText="1"/>
    </xf>
    <xf numFmtId="0" fontId="80" fillId="48" borderId="1" xfId="297" applyFont="1" applyFill="1" applyBorder="1" applyAlignment="1" applyProtection="1">
      <alignment horizontal="center" vertical="center" wrapText="1"/>
      <protection locked="0"/>
    </xf>
    <xf numFmtId="0" fontId="81" fillId="3" borderId="1" xfId="0" applyFont="1" applyFill="1" applyBorder="1" applyAlignment="1">
      <alignment horizontal="center" vertical="center" wrapText="1" readingOrder="1"/>
    </xf>
    <xf numFmtId="0" fontId="81" fillId="3" borderId="1" xfId="0" applyFont="1" applyFill="1" applyBorder="1" applyAlignment="1">
      <alignment horizontal="center" vertical="center" wrapText="1"/>
    </xf>
    <xf numFmtId="0" fontId="10" fillId="47" borderId="1" xfId="297" applyFont="1" applyFill="1" applyBorder="1" applyAlignment="1" applyProtection="1">
      <alignment horizontal="center" vertical="center"/>
      <protection locked="0"/>
    </xf>
    <xf numFmtId="0" fontId="74" fillId="0" borderId="0" xfId="296" applyFont="1" applyAlignment="1">
      <alignment horizontal="left" vertical="top" wrapText="1"/>
    </xf>
    <xf numFmtId="49" fontId="74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49" fontId="74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74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center" vertical="center"/>
    </xf>
    <xf numFmtId="0" fontId="74" fillId="2" borderId="0" xfId="255" applyFont="1" applyFill="1">
      <alignment vertical="center"/>
    </xf>
    <xf numFmtId="0" fontId="80" fillId="2" borderId="4" xfId="0" applyFont="1" applyFill="1" applyBorder="1" applyAlignment="1">
      <alignment horizontal="center" vertical="center"/>
    </xf>
    <xf numFmtId="0" fontId="74" fillId="2" borderId="4" xfId="255" applyFont="1" applyFill="1" applyBorder="1">
      <alignment vertical="center"/>
    </xf>
    <xf numFmtId="0" fontId="87" fillId="2" borderId="0" xfId="255" applyFont="1" applyFill="1">
      <alignment vertical="center"/>
    </xf>
    <xf numFmtId="0" fontId="89" fillId="2" borderId="26" xfId="3" applyFont="1" applyFill="1" applyBorder="1" applyAlignment="1">
      <alignment vertical="top"/>
    </xf>
    <xf numFmtId="0" fontId="89" fillId="2" borderId="27" xfId="3" applyFont="1" applyFill="1" applyBorder="1" applyAlignment="1">
      <alignment vertical="top"/>
    </xf>
    <xf numFmtId="0" fontId="89" fillId="2" borderId="28" xfId="3" applyFont="1" applyFill="1" applyBorder="1" applyAlignment="1">
      <alignment vertical="top"/>
    </xf>
    <xf numFmtId="0" fontId="89" fillId="2" borderId="0" xfId="3" applyFont="1" applyFill="1" applyAlignment="1">
      <alignment vertical="top"/>
    </xf>
    <xf numFmtId="0" fontId="90" fillId="2" borderId="29" xfId="3" applyFont="1" applyFill="1" applyBorder="1" applyAlignment="1">
      <alignment horizontal="right" vertical="top"/>
    </xf>
    <xf numFmtId="0" fontId="89" fillId="2" borderId="30" xfId="3" applyFont="1" applyFill="1" applyBorder="1" applyAlignment="1">
      <alignment vertical="top"/>
    </xf>
    <xf numFmtId="0" fontId="89" fillId="2" borderId="29" xfId="3" applyFont="1" applyFill="1" applyBorder="1" applyAlignment="1">
      <alignment vertical="top"/>
    </xf>
    <xf numFmtId="0" fontId="90" fillId="2" borderId="0" xfId="3" applyFont="1" applyFill="1" applyAlignment="1">
      <alignment horizontal="left" vertical="top" indent="1"/>
    </xf>
    <xf numFmtId="0" fontId="89" fillId="2" borderId="0" xfId="3" applyFont="1" applyFill="1"/>
    <xf numFmtId="0" fontId="90" fillId="2" borderId="0" xfId="3" applyFont="1" applyFill="1" applyAlignment="1">
      <alignment horizontal="right" vertical="top"/>
    </xf>
    <xf numFmtId="0" fontId="90" fillId="2" borderId="0" xfId="3" applyFont="1" applyFill="1" applyAlignment="1">
      <alignment vertical="center"/>
    </xf>
    <xf numFmtId="0" fontId="90" fillId="2" borderId="0" xfId="3" applyFont="1" applyFill="1" applyAlignment="1">
      <alignment vertical="top"/>
    </xf>
    <xf numFmtId="0" fontId="89" fillId="2" borderId="0" xfId="3" applyFont="1" applyFill="1" applyAlignment="1">
      <alignment vertical="center"/>
    </xf>
    <xf numFmtId="0" fontId="90" fillId="2" borderId="0" xfId="3" applyFont="1" applyFill="1" applyAlignment="1">
      <alignment vertical="center" wrapText="1"/>
    </xf>
    <xf numFmtId="0" fontId="90" fillId="2" borderId="0" xfId="3" applyFont="1" applyFill="1" applyAlignment="1">
      <alignment horizontal="left" vertical="center"/>
    </xf>
    <xf numFmtId="0" fontId="89" fillId="2" borderId="0" xfId="3" applyFont="1" applyFill="1" applyAlignment="1">
      <alignment horizontal="left" vertical="center"/>
    </xf>
    <xf numFmtId="0" fontId="90" fillId="2" borderId="0" xfId="3" applyFont="1" applyFill="1" applyAlignment="1">
      <alignment horizontal="right" vertical="center"/>
    </xf>
    <xf numFmtId="49" fontId="89" fillId="2" borderId="0" xfId="3" applyNumberFormat="1" applyFont="1" applyFill="1" applyAlignment="1">
      <alignment vertical="center"/>
    </xf>
    <xf numFmtId="49" fontId="89" fillId="2" borderId="0" xfId="3" applyNumberFormat="1" applyFont="1" applyFill="1" applyAlignment="1">
      <alignment horizontal="left" vertical="center"/>
    </xf>
    <xf numFmtId="0" fontId="90" fillId="2" borderId="30" xfId="3" applyFont="1" applyFill="1" applyBorder="1" applyAlignment="1">
      <alignment vertical="top"/>
    </xf>
    <xf numFmtId="0" fontId="89" fillId="2" borderId="0" xfId="3" applyFont="1" applyFill="1" applyAlignment="1">
      <alignment horizontal="center" vertical="top"/>
    </xf>
    <xf numFmtId="0" fontId="89" fillId="2" borderId="31" xfId="3" applyFont="1" applyFill="1" applyBorder="1" applyAlignment="1">
      <alignment vertical="top"/>
    </xf>
    <xf numFmtId="0" fontId="89" fillId="2" borderId="32" xfId="3" applyFont="1" applyFill="1" applyBorder="1" applyAlignment="1">
      <alignment vertical="top"/>
    </xf>
    <xf numFmtId="0" fontId="89" fillId="2" borderId="33" xfId="3" applyFont="1" applyFill="1" applyBorder="1" applyAlignment="1">
      <alignment vertical="top"/>
    </xf>
    <xf numFmtId="0" fontId="6" fillId="0" borderId="0" xfId="0" applyFont="1" applyAlignment="1"/>
    <xf numFmtId="0" fontId="81" fillId="0" borderId="52" xfId="0" applyFont="1" applyBorder="1" applyAlignment="1">
      <alignment horizontal="center" vertical="center" wrapText="1" readingOrder="1"/>
    </xf>
    <xf numFmtId="0" fontId="81" fillId="47" borderId="52" xfId="0" applyFont="1" applyFill="1" applyBorder="1" applyAlignment="1">
      <alignment horizontal="center" vertical="center" wrapText="1" readingOrder="1"/>
    </xf>
    <xf numFmtId="0" fontId="81" fillId="0" borderId="61" xfId="0" applyFont="1" applyBorder="1" applyAlignment="1">
      <alignment horizontal="center" vertical="center" wrapText="1" readingOrder="1"/>
    </xf>
    <xf numFmtId="0" fontId="81" fillId="47" borderId="61" xfId="0" applyFont="1" applyFill="1" applyBorder="1" applyAlignment="1">
      <alignment horizontal="center" vertical="center" wrapText="1" readingOrder="1"/>
    </xf>
    <xf numFmtId="0" fontId="6" fillId="0" borderId="57" xfId="0" applyFont="1" applyBorder="1" applyAlignment="1">
      <alignment horizontal="center" vertical="center"/>
    </xf>
    <xf numFmtId="0" fontId="6" fillId="47" borderId="57" xfId="0" applyFont="1" applyFill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47" borderId="58" xfId="0" applyFont="1" applyFill="1" applyBorder="1" applyAlignment="1">
      <alignment horizontal="center" vertical="center"/>
    </xf>
    <xf numFmtId="0" fontId="82" fillId="47" borderId="54" xfId="0" applyFont="1" applyFill="1" applyBorder="1" applyAlignment="1">
      <alignment horizontal="center" vertical="center" wrapText="1" readingOrder="1"/>
    </xf>
    <xf numFmtId="0" fontId="82" fillId="2" borderId="54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4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57" xfId="0" applyNumberFormat="1" applyFont="1" applyBorder="1">
      <alignment vertical="center"/>
    </xf>
    <xf numFmtId="0" fontId="10" fillId="0" borderId="35" xfId="0" applyFont="1" applyBorder="1">
      <alignment vertical="center"/>
    </xf>
    <xf numFmtId="0" fontId="10" fillId="0" borderId="57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0" fillId="0" borderId="58" xfId="0" applyFont="1" applyBorder="1" applyAlignment="1">
      <alignment horizontal="left" vertical="center"/>
    </xf>
    <xf numFmtId="0" fontId="10" fillId="0" borderId="34" xfId="0" applyFont="1" applyBorder="1">
      <alignment vertical="center"/>
    </xf>
    <xf numFmtId="0" fontId="94" fillId="0" borderId="0" xfId="296" applyFont="1" applyAlignment="1">
      <alignment horizontal="left" vertical="center"/>
    </xf>
    <xf numFmtId="0" fontId="77" fillId="0" borderId="1" xfId="0" applyFont="1" applyBorder="1" applyAlignment="1">
      <alignment vertical="center" wrapText="1"/>
    </xf>
    <xf numFmtId="0" fontId="77" fillId="0" borderId="1" xfId="0" applyFont="1" applyBorder="1">
      <alignment vertical="center"/>
    </xf>
    <xf numFmtId="0" fontId="77" fillId="0" borderId="55" xfId="0" applyFont="1" applyBorder="1" applyAlignment="1">
      <alignment vertical="center" wrapText="1"/>
    </xf>
    <xf numFmtId="49" fontId="79" fillId="0" borderId="0" xfId="0" applyNumberFormat="1" applyFont="1" applyAlignment="1">
      <alignment horizontal="center" vertical="top" wrapText="1"/>
    </xf>
    <xf numFmtId="0" fontId="10" fillId="47" borderId="1" xfId="0" applyFont="1" applyFill="1" applyBorder="1" applyAlignment="1">
      <alignment vertical="center" wrapText="1"/>
    </xf>
    <xf numFmtId="0" fontId="10" fillId="0" borderId="1" xfId="297" applyFont="1" applyBorder="1" applyAlignment="1" applyProtection="1">
      <alignment vertical="center" wrapText="1"/>
      <protection locked="0"/>
    </xf>
    <xf numFmtId="0" fontId="10" fillId="0" borderId="1" xfId="0" quotePrefix="1" applyFont="1" applyBorder="1" applyAlignment="1">
      <alignment vertical="center" wrapText="1"/>
    </xf>
    <xf numFmtId="0" fontId="82" fillId="0" borderId="1" xfId="0" applyFont="1" applyBorder="1" applyAlignment="1">
      <alignment horizontal="left" vertical="center" wrapText="1" readingOrder="1"/>
    </xf>
    <xf numFmtId="0" fontId="82" fillId="0" borderId="1" xfId="0" applyFont="1" applyBorder="1" applyAlignment="1">
      <alignment horizontal="left" vertical="center" readingOrder="1"/>
    </xf>
    <xf numFmtId="0" fontId="74" fillId="0" borderId="0" xfId="296" applyFont="1" applyAlignment="1">
      <alignment horizontal="left" vertical="center"/>
    </xf>
    <xf numFmtId="0" fontId="10" fillId="47" borderId="1" xfId="0" applyFont="1" applyFill="1" applyBorder="1" applyAlignment="1">
      <alignment horizontal="center" vertical="center" wrapText="1"/>
    </xf>
    <xf numFmtId="0" fontId="10" fillId="0" borderId="1" xfId="297" applyFont="1" applyBorder="1" applyProtection="1">
      <alignment vertical="center"/>
      <protection locked="0"/>
    </xf>
    <xf numFmtId="0" fontId="6" fillId="47" borderId="1" xfId="0" applyFont="1" applyFill="1" applyBorder="1" applyAlignment="1">
      <alignment horizontal="center" vertical="center"/>
    </xf>
    <xf numFmtId="0" fontId="6" fillId="47" borderId="36" xfId="0" applyFont="1" applyFill="1" applyBorder="1" applyAlignment="1">
      <alignment horizontal="center" vertical="center"/>
    </xf>
    <xf numFmtId="0" fontId="10" fillId="47" borderId="63" xfId="0" applyFont="1" applyFill="1" applyBorder="1" applyAlignment="1">
      <alignment horizontal="center" vertical="center"/>
    </xf>
    <xf numFmtId="0" fontId="82" fillId="0" borderId="1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left" vertical="center" wrapText="1"/>
    </xf>
    <xf numFmtId="0" fontId="10" fillId="47" borderId="57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82" fillId="0" borderId="3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7" borderId="57" xfId="297" applyFont="1" applyFill="1" applyBorder="1" applyAlignment="1" applyProtection="1">
      <alignment horizontal="center" vertical="center"/>
      <protection locked="0"/>
    </xf>
    <xf numFmtId="0" fontId="10" fillId="0" borderId="35" xfId="297" applyFont="1" applyBorder="1" applyProtection="1">
      <alignment vertical="center"/>
      <protection locked="0"/>
    </xf>
    <xf numFmtId="0" fontId="10" fillId="0" borderId="35" xfId="0" applyFont="1" applyBorder="1" applyAlignment="1">
      <alignment vertical="center" wrapText="1"/>
    </xf>
    <xf numFmtId="0" fontId="10" fillId="47" borderId="58" xfId="0" applyFont="1" applyFill="1" applyBorder="1" applyAlignment="1">
      <alignment horizontal="center" vertical="center"/>
    </xf>
    <xf numFmtId="0" fontId="10" fillId="47" borderId="36" xfId="0" applyFont="1" applyFill="1" applyBorder="1" applyAlignment="1">
      <alignment horizontal="center" vertical="center"/>
    </xf>
    <xf numFmtId="0" fontId="10" fillId="47" borderId="36" xfId="0" applyFont="1" applyFill="1" applyBorder="1" applyAlignment="1">
      <alignment horizontal="center" vertical="center" wrapText="1"/>
    </xf>
    <xf numFmtId="0" fontId="10" fillId="47" borderId="1" xfId="308" applyFont="1" applyFill="1" applyBorder="1" applyAlignment="1">
      <alignment horizontal="center" vertical="center"/>
    </xf>
    <xf numFmtId="0" fontId="10" fillId="47" borderId="1" xfId="0" applyFont="1" applyFill="1" applyBorder="1" applyAlignment="1">
      <alignment horizontal="left" vertical="center" wrapText="1"/>
    </xf>
    <xf numFmtId="0" fontId="10" fillId="47" borderId="1" xfId="0" applyFont="1" applyFill="1" applyBorder="1" applyAlignment="1">
      <alignment horizontal="left" vertical="center"/>
    </xf>
    <xf numFmtId="0" fontId="10" fillId="47" borderId="1" xfId="297" applyFont="1" applyFill="1" applyBorder="1" applyAlignment="1" applyProtection="1">
      <alignment horizontal="left" vertical="center"/>
      <protection locked="0"/>
    </xf>
    <xf numFmtId="0" fontId="10" fillId="47" borderId="36" xfId="0" applyFont="1" applyFill="1" applyBorder="1" applyAlignment="1">
      <alignment horizontal="left" vertical="center"/>
    </xf>
    <xf numFmtId="0" fontId="10" fillId="47" borderId="65" xfId="297" applyFont="1" applyFill="1" applyBorder="1" applyAlignment="1" applyProtection="1">
      <alignment horizontal="center" vertical="center"/>
      <protection locked="0"/>
    </xf>
    <xf numFmtId="0" fontId="10" fillId="47" borderId="63" xfId="0" applyFont="1" applyFill="1" applyBorder="1" applyAlignment="1">
      <alignment horizontal="left" vertical="center" wrapText="1"/>
    </xf>
    <xf numFmtId="0" fontId="10" fillId="0" borderId="63" xfId="0" applyFont="1" applyBorder="1" applyAlignment="1">
      <alignment vertical="center" wrapText="1"/>
    </xf>
    <xf numFmtId="0" fontId="10" fillId="0" borderId="66" xfId="297" applyFont="1" applyBorder="1" applyProtection="1">
      <alignment vertical="center"/>
      <protection locked="0"/>
    </xf>
    <xf numFmtId="0" fontId="10" fillId="0" borderId="63" xfId="0" applyFont="1" applyBorder="1" applyAlignment="1">
      <alignment horizontal="center" vertical="center"/>
    </xf>
    <xf numFmtId="0" fontId="82" fillId="0" borderId="1" xfId="0" applyFont="1" applyBorder="1" applyAlignment="1">
      <alignment horizontal="left" vertical="center"/>
    </xf>
    <xf numFmtId="0" fontId="83" fillId="0" borderId="0" xfId="0" applyFont="1" applyAlignment="1">
      <alignment vertical="center" wrapText="1"/>
    </xf>
    <xf numFmtId="0" fontId="10" fillId="47" borderId="57" xfId="255" applyFont="1" applyFill="1" applyBorder="1" applyAlignment="1">
      <alignment horizontal="center" vertical="center" wrapText="1"/>
    </xf>
    <xf numFmtId="0" fontId="85" fillId="47" borderId="1" xfId="309" applyFont="1" applyFill="1" applyBorder="1" applyAlignment="1">
      <alignment horizontal="center" vertical="center"/>
    </xf>
    <xf numFmtId="0" fontId="85" fillId="47" borderId="1" xfId="308" applyFont="1" applyFill="1" applyBorder="1" applyAlignment="1">
      <alignment horizontal="left" vertical="center" indent="2"/>
    </xf>
    <xf numFmtId="0" fontId="74" fillId="47" borderId="1" xfId="258" applyFont="1" applyFill="1" applyBorder="1" applyAlignment="1">
      <alignment horizontal="center" vertical="center"/>
    </xf>
    <xf numFmtId="0" fontId="10" fillId="47" borderId="58" xfId="255" applyFont="1" applyFill="1" applyBorder="1" applyAlignment="1">
      <alignment horizontal="center" vertical="center" wrapText="1"/>
    </xf>
    <xf numFmtId="0" fontId="85" fillId="47" borderId="36" xfId="309" applyFont="1" applyFill="1" applyBorder="1" applyAlignment="1">
      <alignment horizontal="center" vertical="center"/>
    </xf>
    <xf numFmtId="0" fontId="85" fillId="47" borderId="36" xfId="308" applyFont="1" applyFill="1" applyBorder="1" applyAlignment="1">
      <alignment horizontal="left" vertical="center" indent="2"/>
    </xf>
    <xf numFmtId="0" fontId="74" fillId="47" borderId="36" xfId="258" applyFont="1" applyFill="1" applyBorder="1" applyAlignment="1">
      <alignment horizontal="center" vertical="center"/>
    </xf>
    <xf numFmtId="0" fontId="85" fillId="47" borderId="1" xfId="255" applyFont="1" applyFill="1" applyBorder="1" applyAlignment="1">
      <alignment horizontal="center" vertical="center"/>
    </xf>
    <xf numFmtId="0" fontId="85" fillId="47" borderId="36" xfId="255" applyFont="1" applyFill="1" applyBorder="1" applyAlignment="1">
      <alignment horizontal="center" vertical="center"/>
    </xf>
    <xf numFmtId="0" fontId="10" fillId="47" borderId="1" xfId="309" applyFont="1" applyFill="1" applyBorder="1" applyAlignment="1">
      <alignment horizontal="center" vertical="center"/>
    </xf>
    <xf numFmtId="0" fontId="74" fillId="47" borderId="1" xfId="255" applyFont="1" applyFill="1" applyBorder="1" applyAlignment="1">
      <alignment horizontal="center" vertical="center"/>
    </xf>
    <xf numFmtId="0" fontId="10" fillId="47" borderId="1" xfId="310" applyFont="1" applyFill="1" applyBorder="1" applyAlignment="1">
      <alignment horizontal="center" vertical="center"/>
    </xf>
    <xf numFmtId="0" fontId="10" fillId="47" borderId="1" xfId="308" applyFont="1" applyFill="1" applyBorder="1" applyAlignment="1">
      <alignment horizontal="center" vertical="center" wrapText="1"/>
    </xf>
    <xf numFmtId="0" fontId="74" fillId="47" borderId="36" xfId="255" applyFont="1" applyFill="1" applyBorder="1" applyAlignment="1">
      <alignment horizontal="center" vertical="center"/>
    </xf>
    <xf numFmtId="0" fontId="10" fillId="0" borderId="35" xfId="255" applyFont="1" applyBorder="1" applyAlignment="1">
      <alignment horizontal="center" vertical="center"/>
    </xf>
    <xf numFmtId="0" fontId="85" fillId="0" borderId="35" xfId="255" applyFont="1" applyBorder="1" applyAlignment="1">
      <alignment horizontal="center" vertical="center"/>
    </xf>
    <xf numFmtId="0" fontId="85" fillId="0" borderId="34" xfId="255" applyFont="1" applyBorder="1" applyAlignment="1">
      <alignment horizontal="center" vertical="center"/>
    </xf>
    <xf numFmtId="0" fontId="74" fillId="0" borderId="35" xfId="255" applyFont="1" applyBorder="1" applyAlignment="1">
      <alignment horizontal="center" vertical="center"/>
    </xf>
    <xf numFmtId="0" fontId="74" fillId="0" borderId="34" xfId="255" applyFont="1" applyBorder="1" applyAlignment="1">
      <alignment horizontal="center" vertical="center"/>
    </xf>
    <xf numFmtId="0" fontId="7" fillId="0" borderId="0" xfId="0" applyFont="1">
      <alignment vertical="center"/>
    </xf>
    <xf numFmtId="0" fontId="80" fillId="2" borderId="0" xfId="0" applyFont="1" applyFill="1" applyAlignment="1">
      <alignment horizontal="center" vertical="center"/>
    </xf>
    <xf numFmtId="0" fontId="7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1" fillId="0" borderId="79" xfId="0" applyFont="1" applyBorder="1" applyAlignment="1">
      <alignment horizontal="center" vertical="center" wrapText="1" readingOrder="1"/>
    </xf>
    <xf numFmtId="0" fontId="81" fillId="0" borderId="78" xfId="0" applyFont="1" applyBorder="1" applyAlignment="1">
      <alignment horizontal="center" vertical="center" wrapText="1" readingOrder="1"/>
    </xf>
    <xf numFmtId="0" fontId="82" fillId="0" borderId="78" xfId="0" applyFont="1" applyBorder="1" applyAlignment="1">
      <alignment horizontal="center" vertical="center" wrapText="1" readingOrder="1"/>
    </xf>
    <xf numFmtId="0" fontId="81" fillId="0" borderId="80" xfId="0" applyFont="1" applyBorder="1" applyAlignment="1">
      <alignment horizontal="center" vertical="center" wrapText="1" readingOrder="1"/>
    </xf>
    <xf numFmtId="0" fontId="82" fillId="0" borderId="81" xfId="0" applyFont="1" applyBorder="1" applyAlignment="1">
      <alignment horizontal="left" vertical="center" wrapText="1" readingOrder="1"/>
    </xf>
    <xf numFmtId="0" fontId="10" fillId="0" borderId="78" xfId="0" applyFont="1" applyBorder="1" applyAlignment="1">
      <alignment horizontal="left" vertical="center" wrapText="1" readingOrder="1"/>
    </xf>
    <xf numFmtId="0" fontId="10" fillId="0" borderId="78" xfId="0" applyFont="1" applyBorder="1" applyAlignment="1">
      <alignment vertical="center" wrapText="1"/>
    </xf>
    <xf numFmtId="0" fontId="81" fillId="0" borderId="82" xfId="0" applyFont="1" applyBorder="1" applyAlignment="1">
      <alignment horizontal="center" vertical="center" wrapText="1" readingOrder="1"/>
    </xf>
    <xf numFmtId="0" fontId="81" fillId="0" borderId="83" xfId="0" applyFont="1" applyBorder="1" applyAlignment="1">
      <alignment horizontal="center" vertical="center" wrapText="1" readingOrder="1"/>
    </xf>
    <xf numFmtId="0" fontId="81" fillId="47" borderId="83" xfId="0" applyFont="1" applyFill="1" applyBorder="1" applyAlignment="1">
      <alignment horizontal="center" vertical="center" wrapText="1" readingOrder="1"/>
    </xf>
    <xf numFmtId="0" fontId="82" fillId="0" borderId="85" xfId="0" applyFont="1" applyBorder="1" applyAlignment="1">
      <alignment horizontal="center" vertical="center" wrapText="1" readingOrder="1"/>
    </xf>
    <xf numFmtId="0" fontId="81" fillId="0" borderId="81" xfId="0" applyFont="1" applyBorder="1" applyAlignment="1">
      <alignment horizontal="center" vertical="center" wrapText="1" readingOrder="1"/>
    </xf>
    <xf numFmtId="0" fontId="81" fillId="0" borderId="87" xfId="0" applyFont="1" applyBorder="1" applyAlignment="1">
      <alignment horizontal="center" vertical="center" wrapText="1" readingOrder="1"/>
    </xf>
    <xf numFmtId="0" fontId="81" fillId="0" borderId="88" xfId="0" applyFont="1" applyBorder="1" applyAlignment="1">
      <alignment horizontal="center" vertical="center" wrapText="1" readingOrder="1"/>
    </xf>
    <xf numFmtId="0" fontId="81" fillId="47" borderId="88" xfId="0" applyFont="1" applyFill="1" applyBorder="1" applyAlignment="1">
      <alignment horizontal="center" vertical="center" wrapText="1" readingOrder="1"/>
    </xf>
    <xf numFmtId="0" fontId="81" fillId="0" borderId="90" xfId="0" applyFont="1" applyBorder="1" applyAlignment="1">
      <alignment horizontal="center" vertical="center" wrapText="1" readingOrder="1"/>
    </xf>
    <xf numFmtId="49" fontId="9" fillId="0" borderId="0" xfId="0" applyNumberFormat="1" applyFont="1">
      <alignment vertical="center"/>
    </xf>
    <xf numFmtId="0" fontId="10" fillId="0" borderId="35" xfId="0" applyFont="1" applyBorder="1" applyAlignment="1">
      <alignment horizontal="center" vertical="center"/>
    </xf>
    <xf numFmtId="0" fontId="10" fillId="2" borderId="57" xfId="0" applyFont="1" applyFill="1" applyBorder="1" applyAlignment="1">
      <alignment horizontal="left" vertical="center"/>
    </xf>
    <xf numFmtId="0" fontId="10" fillId="0" borderId="36" xfId="0" applyFont="1" applyBorder="1" applyAlignment="1">
      <alignment horizontal="left" vertical="center" wrapText="1"/>
    </xf>
    <xf numFmtId="0" fontId="10" fillId="0" borderId="36" xfId="0" applyFont="1" applyBorder="1" applyAlignment="1">
      <alignment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center" vertical="center"/>
    </xf>
    <xf numFmtId="0" fontId="6" fillId="47" borderId="65" xfId="0" applyFont="1" applyFill="1" applyBorder="1" applyAlignment="1">
      <alignment horizontal="center" vertical="center"/>
    </xf>
    <xf numFmtId="49" fontId="10" fillId="0" borderId="65" xfId="0" applyNumberFormat="1" applyFont="1" applyBorder="1">
      <alignment vertical="center"/>
    </xf>
    <xf numFmtId="0" fontId="10" fillId="0" borderId="66" xfId="0" applyFont="1" applyBorder="1">
      <alignment vertical="center"/>
    </xf>
    <xf numFmtId="0" fontId="9" fillId="50" borderId="1" xfId="3" applyFont="1" applyFill="1" applyBorder="1" applyAlignment="1">
      <alignment horizontal="center" vertical="center" wrapText="1"/>
    </xf>
    <xf numFmtId="0" fontId="9" fillId="50" borderId="5" xfId="3" applyFont="1" applyFill="1" applyBorder="1" applyAlignment="1">
      <alignment horizontal="center" vertical="center" wrapText="1"/>
    </xf>
    <xf numFmtId="0" fontId="9" fillId="50" borderId="35" xfId="3" applyFont="1" applyFill="1" applyBorder="1" applyAlignment="1">
      <alignment horizontal="center" vertical="center" wrapText="1"/>
    </xf>
    <xf numFmtId="0" fontId="101" fillId="50" borderId="70" xfId="0" applyFont="1" applyFill="1" applyBorder="1" applyAlignment="1">
      <alignment horizontal="center" vertical="center"/>
    </xf>
    <xf numFmtId="0" fontId="81" fillId="50" borderId="97" xfId="0" applyFont="1" applyFill="1" applyBorder="1" applyAlignment="1">
      <alignment horizontal="center" vertical="center" wrapText="1" readingOrder="1"/>
    </xf>
    <xf numFmtId="0" fontId="81" fillId="50" borderId="85" xfId="0" applyFont="1" applyFill="1" applyBorder="1" applyAlignment="1">
      <alignment horizontal="center" vertical="center" wrapText="1" readingOrder="1"/>
    </xf>
    <xf numFmtId="0" fontId="81" fillId="50" borderId="93" xfId="0" applyFont="1" applyFill="1" applyBorder="1" applyAlignment="1">
      <alignment horizontal="center" vertical="center" wrapText="1" readingOrder="1"/>
    </xf>
    <xf numFmtId="0" fontId="81" fillId="50" borderId="94" xfId="0" applyFont="1" applyFill="1" applyBorder="1" applyAlignment="1">
      <alignment horizontal="center" vertical="center" wrapText="1" readingOrder="1"/>
    </xf>
    <xf numFmtId="0" fontId="9" fillId="50" borderId="70" xfId="0" applyFont="1" applyFill="1" applyBorder="1" applyAlignment="1">
      <alignment horizontal="center" vertical="center"/>
    </xf>
    <xf numFmtId="0" fontId="9" fillId="50" borderId="71" xfId="0" applyFont="1" applyFill="1" applyBorder="1" applyAlignment="1">
      <alignment horizontal="center" vertical="center" wrapText="1"/>
    </xf>
    <xf numFmtId="0" fontId="9" fillId="50" borderId="71" xfId="0" applyFont="1" applyFill="1" applyBorder="1" applyAlignment="1">
      <alignment horizontal="center" vertical="center"/>
    </xf>
    <xf numFmtId="0" fontId="9" fillId="50" borderId="72" xfId="0" applyFont="1" applyFill="1" applyBorder="1" applyAlignment="1">
      <alignment horizontal="center" vertical="center"/>
    </xf>
    <xf numFmtId="0" fontId="80" fillId="50" borderId="70" xfId="297" applyFont="1" applyFill="1" applyBorder="1" applyAlignment="1" applyProtection="1">
      <alignment horizontal="center" vertical="top" wrapText="1"/>
      <protection locked="0"/>
    </xf>
    <xf numFmtId="0" fontId="81" fillId="50" borderId="71" xfId="0" applyFont="1" applyFill="1" applyBorder="1" applyAlignment="1">
      <alignment horizontal="center" vertical="top" wrapText="1"/>
    </xf>
    <xf numFmtId="0" fontId="81" fillId="50" borderId="72" xfId="0" applyFont="1" applyFill="1" applyBorder="1" applyAlignment="1">
      <alignment horizontal="center" vertical="top" wrapText="1"/>
    </xf>
    <xf numFmtId="0" fontId="6" fillId="50" borderId="59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0" fontId="77" fillId="0" borderId="35" xfId="0" applyFont="1" applyBorder="1">
      <alignment vertical="center"/>
    </xf>
    <xf numFmtId="0" fontId="77" fillId="0" borderId="36" xfId="0" applyFont="1" applyBorder="1" applyAlignment="1">
      <alignment vertical="center" wrapText="1"/>
    </xf>
    <xf numFmtId="0" fontId="77" fillId="0" borderId="36" xfId="0" applyFont="1" applyBorder="1" applyAlignment="1">
      <alignment vertical="top" wrapText="1"/>
    </xf>
    <xf numFmtId="0" fontId="77" fillId="0" borderId="34" xfId="0" applyFont="1" applyBorder="1">
      <alignment vertical="center"/>
    </xf>
    <xf numFmtId="0" fontId="77" fillId="0" borderId="65" xfId="0" applyFont="1" applyBorder="1" applyAlignment="1">
      <alignment horizontal="center" vertical="center"/>
    </xf>
    <xf numFmtId="0" fontId="77" fillId="0" borderId="63" xfId="0" applyFont="1" applyBorder="1">
      <alignment vertical="center"/>
    </xf>
    <xf numFmtId="0" fontId="77" fillId="0" borderId="63" xfId="0" applyFont="1" applyBorder="1" applyAlignment="1">
      <alignment vertical="top"/>
    </xf>
    <xf numFmtId="0" fontId="77" fillId="0" borderId="66" xfId="0" applyFont="1" applyBorder="1">
      <alignment vertical="center"/>
    </xf>
    <xf numFmtId="0" fontId="100" fillId="50" borderId="70" xfId="0" applyFont="1" applyFill="1" applyBorder="1" applyAlignment="1">
      <alignment horizontal="center" vertical="center"/>
    </xf>
    <xf numFmtId="0" fontId="100" fillId="50" borderId="71" xfId="0" applyFont="1" applyFill="1" applyBorder="1" applyAlignment="1">
      <alignment horizontal="center" vertical="center"/>
    </xf>
    <xf numFmtId="0" fontId="100" fillId="50" borderId="72" xfId="0" applyFont="1" applyFill="1" applyBorder="1" applyAlignment="1">
      <alignment horizontal="center" vertical="center"/>
    </xf>
    <xf numFmtId="0" fontId="10" fillId="47" borderId="65" xfId="255" applyFont="1" applyFill="1" applyBorder="1" applyAlignment="1">
      <alignment horizontal="center" vertical="center" wrapText="1"/>
    </xf>
    <xf numFmtId="0" fontId="6" fillId="47" borderId="63" xfId="0" applyFont="1" applyFill="1" applyBorder="1" applyAlignment="1">
      <alignment horizontal="center" vertical="center"/>
    </xf>
    <xf numFmtId="0" fontId="10" fillId="47" borderId="63" xfId="309" applyFont="1" applyFill="1" applyBorder="1" applyAlignment="1">
      <alignment horizontal="center" vertical="center"/>
    </xf>
    <xf numFmtId="0" fontId="10" fillId="47" borderId="63" xfId="308" applyFont="1" applyFill="1" applyBorder="1" applyAlignment="1">
      <alignment horizontal="center" vertical="center"/>
    </xf>
    <xf numFmtId="0" fontId="74" fillId="0" borderId="66" xfId="255" applyFont="1" applyBorder="1" applyAlignment="1">
      <alignment horizontal="center" vertical="center"/>
    </xf>
    <xf numFmtId="0" fontId="80" fillId="50" borderId="70" xfId="0" applyFont="1" applyFill="1" applyBorder="1" applyAlignment="1">
      <alignment horizontal="center" vertical="center"/>
    </xf>
    <xf numFmtId="0" fontId="80" fillId="50" borderId="71" xfId="0" applyFont="1" applyFill="1" applyBorder="1" applyAlignment="1">
      <alignment horizontal="center" vertical="center"/>
    </xf>
    <xf numFmtId="0" fontId="80" fillId="50" borderId="71" xfId="0" applyFont="1" applyFill="1" applyBorder="1" applyAlignment="1">
      <alignment horizontal="center" vertical="center" wrapText="1"/>
    </xf>
    <xf numFmtId="0" fontId="80" fillId="50" borderId="72" xfId="0" applyFont="1" applyFill="1" applyBorder="1" applyAlignment="1">
      <alignment horizontal="center" vertical="center"/>
    </xf>
    <xf numFmtId="0" fontId="74" fillId="47" borderId="63" xfId="255" applyFont="1" applyFill="1" applyBorder="1" applyAlignment="1">
      <alignment horizontal="center" vertical="center"/>
    </xf>
    <xf numFmtId="0" fontId="10" fillId="47" borderId="63" xfId="310" applyFont="1" applyFill="1" applyBorder="1" applyAlignment="1">
      <alignment horizontal="center" vertical="center"/>
    </xf>
    <xf numFmtId="0" fontId="80" fillId="50" borderId="70" xfId="0" applyFont="1" applyFill="1" applyBorder="1" applyAlignment="1">
      <alignment horizontal="center" vertical="top"/>
    </xf>
    <xf numFmtId="0" fontId="80" fillId="50" borderId="71" xfId="0" applyFont="1" applyFill="1" applyBorder="1" applyAlignment="1">
      <alignment horizontal="center" vertical="top"/>
    </xf>
    <xf numFmtId="0" fontId="80" fillId="50" borderId="71" xfId="0" applyFont="1" applyFill="1" applyBorder="1" applyAlignment="1">
      <alignment horizontal="center" vertical="top" wrapText="1"/>
    </xf>
    <xf numFmtId="0" fontId="80" fillId="50" borderId="72" xfId="0" applyFont="1" applyFill="1" applyBorder="1" applyAlignment="1">
      <alignment horizontal="center" vertical="top"/>
    </xf>
    <xf numFmtId="0" fontId="85" fillId="47" borderId="63" xfId="309" applyFont="1" applyFill="1" applyBorder="1" applyAlignment="1">
      <alignment horizontal="center" vertical="center"/>
    </xf>
    <xf numFmtId="0" fontId="85" fillId="47" borderId="63" xfId="308" applyFont="1" applyFill="1" applyBorder="1" applyAlignment="1">
      <alignment horizontal="left" vertical="center" indent="2"/>
    </xf>
    <xf numFmtId="0" fontId="74" fillId="47" borderId="63" xfId="258" applyFont="1" applyFill="1" applyBorder="1" applyAlignment="1">
      <alignment horizontal="center" vertical="center"/>
    </xf>
    <xf numFmtId="0" fontId="85" fillId="47" borderId="63" xfId="255" applyFont="1" applyFill="1" applyBorder="1" applyAlignment="1">
      <alignment horizontal="center" vertical="center"/>
    </xf>
    <xf numFmtId="0" fontId="85" fillId="0" borderId="66" xfId="255" applyFont="1" applyBorder="1" applyAlignment="1">
      <alignment horizontal="center" vertical="center"/>
    </xf>
    <xf numFmtId="0" fontId="88" fillId="0" borderId="0" xfId="0" applyFont="1">
      <alignment vertical="center"/>
    </xf>
    <xf numFmtId="0" fontId="76" fillId="47" borderId="98" xfId="0" applyFont="1" applyFill="1" applyBorder="1" applyAlignment="1">
      <alignment horizontal="center" vertical="center"/>
    </xf>
    <xf numFmtId="0" fontId="76" fillId="47" borderId="22" xfId="0" applyFont="1" applyFill="1" applyBorder="1" applyAlignment="1">
      <alignment horizontal="center" vertical="center"/>
    </xf>
    <xf numFmtId="0" fontId="76" fillId="47" borderId="23" xfId="0" applyFont="1" applyFill="1" applyBorder="1" applyAlignment="1">
      <alignment horizontal="center" vertical="center"/>
    </xf>
    <xf numFmtId="0" fontId="76" fillId="47" borderId="24" xfId="0" applyFont="1" applyFill="1" applyBorder="1" applyAlignment="1">
      <alignment horizontal="center" vertical="center"/>
    </xf>
    <xf numFmtId="0" fontId="76" fillId="0" borderId="22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98" xfId="0" applyFont="1" applyBorder="1" applyAlignment="1">
      <alignment horizontal="center" vertical="center"/>
    </xf>
    <xf numFmtId="0" fontId="76" fillId="0" borderId="103" xfId="0" applyFont="1" applyBorder="1" applyAlignment="1">
      <alignment horizontal="center" vertical="center"/>
    </xf>
    <xf numFmtId="0" fontId="76" fillId="0" borderId="22" xfId="0" applyFont="1" applyBorder="1" applyAlignment="1">
      <alignment horizontal="left" vertical="center"/>
    </xf>
    <xf numFmtId="0" fontId="76" fillId="0" borderId="23" xfId="0" applyFont="1" applyBorder="1" applyAlignment="1">
      <alignment horizontal="left" vertical="center"/>
    </xf>
    <xf numFmtId="0" fontId="76" fillId="0" borderId="24" xfId="0" applyFont="1" applyBorder="1" applyAlignment="1">
      <alignment horizontal="left" vertical="center"/>
    </xf>
    <xf numFmtId="0" fontId="81" fillId="50" borderId="107" xfId="0" applyFont="1" applyFill="1" applyBorder="1" applyAlignment="1">
      <alignment horizontal="center" vertical="center" wrapText="1" readingOrder="1"/>
    </xf>
    <xf numFmtId="0" fontId="81" fillId="50" borderId="108" xfId="0" applyFont="1" applyFill="1" applyBorder="1" applyAlignment="1">
      <alignment horizontal="center" vertical="center" wrapText="1" readingOrder="1"/>
    </xf>
    <xf numFmtId="0" fontId="81" fillId="50" borderId="109" xfId="0" applyFont="1" applyFill="1" applyBorder="1" applyAlignment="1">
      <alignment horizontal="center" vertical="center" wrapText="1" readingOrder="1"/>
    </xf>
    <xf numFmtId="0" fontId="81" fillId="50" borderId="64" xfId="0" applyFont="1" applyFill="1" applyBorder="1" applyAlignment="1">
      <alignment horizontal="center" vertical="center" wrapText="1" readingOrder="1"/>
    </xf>
    <xf numFmtId="0" fontId="95" fillId="0" borderId="1" xfId="0" applyFont="1" applyBorder="1" applyAlignment="1">
      <alignment horizontal="center" vertical="center" wrapText="1" readingOrder="1"/>
    </xf>
    <xf numFmtId="0" fontId="95" fillId="0" borderId="1" xfId="0" applyFont="1" applyBorder="1" applyAlignment="1">
      <alignment horizontal="left" vertical="center" wrapText="1" readingOrder="1"/>
    </xf>
    <xf numFmtId="0" fontId="95" fillId="0" borderId="1" xfId="0" applyFont="1" applyBorder="1" applyAlignment="1">
      <alignment horizontal="justify" vertical="center" wrapText="1" readingOrder="1"/>
    </xf>
    <xf numFmtId="0" fontId="95" fillId="0" borderId="60" xfId="0" applyFont="1" applyBorder="1" applyAlignment="1">
      <alignment horizontal="center" vertical="center" wrapText="1" readingOrder="1"/>
    </xf>
    <xf numFmtId="0" fontId="95" fillId="0" borderId="60" xfId="0" applyFont="1" applyBorder="1" applyAlignment="1">
      <alignment horizontal="left" vertical="center" wrapText="1" readingOrder="1"/>
    </xf>
    <xf numFmtId="0" fontId="82" fillId="0" borderId="56" xfId="0" applyFont="1" applyBorder="1" applyAlignment="1">
      <alignment horizontal="center" vertical="center" wrapText="1" readingOrder="1"/>
    </xf>
    <xf numFmtId="0" fontId="95" fillId="0" borderId="36" xfId="0" applyFont="1" applyBorder="1" applyAlignment="1">
      <alignment horizontal="center" vertical="center" wrapText="1" readingOrder="1"/>
    </xf>
    <xf numFmtId="0" fontId="95" fillId="0" borderId="36" xfId="0" applyFont="1" applyBorder="1" applyAlignment="1">
      <alignment horizontal="justify" vertical="center" wrapText="1" readingOrder="1"/>
    </xf>
    <xf numFmtId="0" fontId="95" fillId="0" borderId="36" xfId="0" applyFont="1" applyBorder="1" applyAlignment="1">
      <alignment horizontal="left" vertical="center" wrapText="1" readingOrder="1"/>
    </xf>
    <xf numFmtId="0" fontId="95" fillId="0" borderId="60" xfId="0" applyFont="1" applyBorder="1" applyAlignment="1">
      <alignment horizontal="justify" vertical="center" wrapText="1" readingOrder="1"/>
    </xf>
    <xf numFmtId="0" fontId="11" fillId="0" borderId="60" xfId="0" applyFont="1" applyBorder="1" applyAlignment="1">
      <alignment horizontal="center" vertical="center" wrapText="1"/>
    </xf>
    <xf numFmtId="0" fontId="11" fillId="47" borderId="6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11" fillId="47" borderId="36" xfId="0" applyFont="1" applyFill="1" applyBorder="1" applyAlignment="1">
      <alignment horizontal="center" vertical="center" wrapText="1"/>
    </xf>
    <xf numFmtId="0" fontId="10" fillId="0" borderId="56" xfId="0" applyFont="1" applyBorder="1">
      <alignment vertical="center"/>
    </xf>
    <xf numFmtId="0" fontId="106" fillId="50" borderId="70" xfId="0" applyFont="1" applyFill="1" applyBorder="1" applyAlignment="1">
      <alignment horizontal="center" vertical="center" wrapText="1" readingOrder="1"/>
    </xf>
    <xf numFmtId="0" fontId="106" fillId="50" borderId="71" xfId="0" applyFont="1" applyFill="1" applyBorder="1" applyAlignment="1">
      <alignment horizontal="center" vertical="center" wrapText="1" readingOrder="1"/>
    </xf>
    <xf numFmtId="0" fontId="106" fillId="50" borderId="72" xfId="0" applyFont="1" applyFill="1" applyBorder="1" applyAlignment="1">
      <alignment horizontal="center" vertical="center" wrapText="1" readingOrder="1"/>
    </xf>
    <xf numFmtId="0" fontId="77" fillId="0" borderId="0" xfId="0" applyFont="1" applyAlignment="1">
      <alignment horizontal="center" vertical="top"/>
    </xf>
    <xf numFmtId="0" fontId="95" fillId="0" borderId="68" xfId="0" applyFont="1" applyBorder="1" applyAlignment="1">
      <alignment horizontal="left" vertical="center" wrapText="1" readingOrder="1"/>
    </xf>
    <xf numFmtId="0" fontId="95" fillId="0" borderId="69" xfId="0" applyFont="1" applyBorder="1" applyAlignment="1">
      <alignment horizontal="left" vertical="center" wrapText="1" readingOrder="1"/>
    </xf>
    <xf numFmtId="0" fontId="95" fillId="0" borderId="73" xfId="0" applyFont="1" applyBorder="1" applyAlignment="1">
      <alignment horizontal="left" vertical="center" wrapText="1" readingOrder="1"/>
    </xf>
    <xf numFmtId="0" fontId="95" fillId="0" borderId="68" xfId="0" applyFont="1" applyBorder="1" applyAlignment="1">
      <alignment horizontal="center" vertical="center" wrapText="1" readingOrder="1"/>
    </xf>
    <xf numFmtId="0" fontId="78" fillId="0" borderId="68" xfId="0" applyFont="1" applyBorder="1" applyAlignment="1">
      <alignment horizontal="center" vertical="center" wrapText="1"/>
    </xf>
    <xf numFmtId="0" fontId="95" fillId="0" borderId="69" xfId="0" applyFont="1" applyBorder="1" applyAlignment="1">
      <alignment horizontal="center" vertical="center" wrapText="1" readingOrder="1"/>
    </xf>
    <xf numFmtId="0" fontId="78" fillId="0" borderId="69" xfId="0" applyFont="1" applyBorder="1" applyAlignment="1">
      <alignment horizontal="center" vertical="center" wrapText="1"/>
    </xf>
    <xf numFmtId="0" fontId="95" fillId="0" borderId="73" xfId="0" applyFont="1" applyBorder="1" applyAlignment="1">
      <alignment horizontal="center" vertical="center" wrapText="1" readingOrder="1"/>
    </xf>
    <xf numFmtId="0" fontId="95" fillId="0" borderId="68" xfId="0" applyFont="1" applyBorder="1" applyAlignment="1">
      <alignment vertical="center" wrapText="1" readingOrder="1"/>
    </xf>
    <xf numFmtId="0" fontId="77" fillId="0" borderId="35" xfId="0" applyFont="1" applyBorder="1" applyAlignment="1">
      <alignment horizontal="center" vertical="top"/>
    </xf>
    <xf numFmtId="0" fontId="71" fillId="0" borderId="60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0" borderId="3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1" fillId="50" borderId="109" xfId="0" applyFont="1" applyFill="1" applyBorder="1" applyAlignment="1">
      <alignment horizontal="center" vertical="center" wrapText="1"/>
    </xf>
    <xf numFmtId="0" fontId="95" fillId="47" borderId="1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77" fillId="47" borderId="63" xfId="0" applyFont="1" applyFill="1" applyBorder="1" applyAlignment="1">
      <alignment horizontal="center" vertical="center"/>
    </xf>
    <xf numFmtId="0" fontId="77" fillId="47" borderId="1" xfId="0" applyFont="1" applyFill="1" applyBorder="1" applyAlignment="1">
      <alignment horizontal="center" vertical="center"/>
    </xf>
    <xf numFmtId="0" fontId="77" fillId="47" borderId="36" xfId="0" applyFont="1" applyFill="1" applyBorder="1" applyAlignment="1">
      <alignment horizontal="center" vertical="center"/>
    </xf>
    <xf numFmtId="0" fontId="109" fillId="47" borderId="23" xfId="431" applyFill="1" applyBorder="1" applyAlignment="1">
      <alignment horizontal="center" vertical="center"/>
    </xf>
    <xf numFmtId="0" fontId="95" fillId="47" borderId="118" xfId="0" applyFont="1" applyFill="1" applyBorder="1" applyAlignment="1">
      <alignment horizontal="center" vertical="center" wrapText="1" readingOrder="1"/>
    </xf>
    <xf numFmtId="0" fontId="95" fillId="47" borderId="120" xfId="0" applyFont="1" applyFill="1" applyBorder="1" applyAlignment="1">
      <alignment horizontal="center" vertical="center" wrapText="1" readingOrder="1"/>
    </xf>
    <xf numFmtId="0" fontId="78" fillId="0" borderId="68" xfId="0" applyFont="1" applyBorder="1" applyAlignment="1">
      <alignment vertical="center" wrapText="1"/>
    </xf>
    <xf numFmtId="0" fontId="78" fillId="0" borderId="67" xfId="0" applyFont="1" applyBorder="1" applyAlignment="1">
      <alignment horizontal="center" vertical="center" wrapText="1"/>
    </xf>
    <xf numFmtId="0" fontId="95" fillId="0" borderId="67" xfId="0" applyFont="1" applyBorder="1" applyAlignment="1">
      <alignment horizontal="center" vertical="center" wrapText="1" readingOrder="1"/>
    </xf>
    <xf numFmtId="0" fontId="78" fillId="0" borderId="69" xfId="0" applyFont="1" applyBorder="1" applyAlignment="1">
      <alignment vertical="center" wrapText="1"/>
    </xf>
    <xf numFmtId="0" fontId="95" fillId="0" borderId="67" xfId="0" applyFont="1" applyBorder="1" applyAlignment="1">
      <alignment horizontal="left" vertical="center" wrapText="1" readingOrder="1"/>
    </xf>
    <xf numFmtId="0" fontId="95" fillId="0" borderId="67" xfId="0" applyFont="1" applyBorder="1" applyAlignment="1">
      <alignment vertical="center" wrapText="1" readingOrder="1"/>
    </xf>
    <xf numFmtId="0" fontId="95" fillId="0" borderId="63" xfId="0" applyFont="1" applyBorder="1" applyAlignment="1">
      <alignment horizontal="left" vertical="center" wrapText="1" readingOrder="1"/>
    </xf>
    <xf numFmtId="0" fontId="95" fillId="0" borderId="63" xfId="0" applyFont="1" applyBorder="1" applyAlignment="1">
      <alignment horizontal="center" vertical="center" wrapText="1" readingOrder="1"/>
    </xf>
    <xf numFmtId="0" fontId="78" fillId="0" borderId="112" xfId="0" applyFont="1" applyBorder="1" applyAlignment="1">
      <alignment horizontal="center" vertical="center" wrapText="1"/>
    </xf>
    <xf numFmtId="0" fontId="78" fillId="0" borderId="73" xfId="0" applyFont="1" applyBorder="1" applyAlignment="1">
      <alignment horizontal="center" vertical="center" wrapText="1"/>
    </xf>
    <xf numFmtId="0" fontId="78" fillId="0" borderId="68" xfId="0" applyFont="1" applyBorder="1" applyAlignment="1">
      <alignment horizontal="left" vertical="center" wrapText="1" readingOrder="1"/>
    </xf>
    <xf numFmtId="0" fontId="95" fillId="0" borderId="68" xfId="0" applyFont="1" applyBorder="1" applyAlignment="1">
      <alignment horizontal="center" vertical="center" wrapText="1"/>
    </xf>
    <xf numFmtId="0" fontId="95" fillId="0" borderId="73" xfId="0" applyFont="1" applyBorder="1" applyAlignment="1">
      <alignment vertical="center" wrapText="1" readingOrder="1"/>
    </xf>
    <xf numFmtId="0" fontId="95" fillId="49" borderId="68" xfId="432" applyFont="1" applyFill="1" applyBorder="1" applyAlignment="1">
      <alignment horizontal="left" vertical="center" wrapText="1" readingOrder="1"/>
    </xf>
    <xf numFmtId="0" fontId="85" fillId="0" borderId="56" xfId="255" applyFont="1" applyBorder="1" applyAlignment="1">
      <alignment horizontal="center" vertical="center"/>
    </xf>
    <xf numFmtId="0" fontId="5" fillId="47" borderId="60" xfId="0" applyFont="1" applyFill="1" applyBorder="1">
      <alignment vertical="center"/>
    </xf>
    <xf numFmtId="0" fontId="5" fillId="47" borderId="1" xfId="0" applyFont="1" applyFill="1" applyBorder="1">
      <alignment vertical="center"/>
    </xf>
    <xf numFmtId="0" fontId="5" fillId="47" borderId="36" xfId="0" applyFont="1" applyFill="1" applyBorder="1">
      <alignment vertical="center"/>
    </xf>
    <xf numFmtId="0" fontId="110" fillId="0" borderId="74" xfId="0" applyFont="1" applyBorder="1" applyAlignment="1">
      <alignment horizontal="left" vertical="center" wrapText="1" readingOrder="1"/>
    </xf>
    <xf numFmtId="0" fontId="110" fillId="0" borderId="74" xfId="0" applyFont="1" applyBorder="1" applyAlignment="1">
      <alignment vertical="center" wrapText="1" readingOrder="1"/>
    </xf>
    <xf numFmtId="0" fontId="95" fillId="0" borderId="74" xfId="0" applyFont="1" applyBorder="1" applyAlignment="1">
      <alignment horizontal="left" vertical="center" wrapText="1" readingOrder="1"/>
    </xf>
    <xf numFmtId="0" fontId="95" fillId="0" borderId="74" xfId="0" applyFont="1" applyBorder="1" applyAlignment="1">
      <alignment horizontal="center" vertical="center" wrapText="1" readingOrder="1"/>
    </xf>
    <xf numFmtId="0" fontId="91" fillId="2" borderId="0" xfId="3" applyFont="1" applyFill="1" applyAlignment="1">
      <alignment vertical="center"/>
    </xf>
    <xf numFmtId="0" fontId="10" fillId="2" borderId="29" xfId="272" applyFont="1" applyFill="1" applyBorder="1" applyAlignment="1">
      <alignment vertical="top"/>
    </xf>
    <xf numFmtId="0" fontId="10" fillId="2" borderId="0" xfId="272" applyFont="1" applyFill="1" applyAlignment="1">
      <alignment vertical="top"/>
    </xf>
    <xf numFmtId="0" fontId="9" fillId="2" borderId="0" xfId="272" applyFont="1" applyFill="1" applyAlignment="1">
      <alignment vertical="center"/>
    </xf>
    <xf numFmtId="0" fontId="10" fillId="2" borderId="0" xfId="272" applyFont="1" applyFill="1" applyAlignment="1">
      <alignment vertical="center"/>
    </xf>
    <xf numFmtId="0" fontId="9" fillId="2" borderId="0" xfId="272" applyFont="1" applyFill="1" applyAlignment="1">
      <alignment vertical="center" wrapText="1"/>
    </xf>
    <xf numFmtId="0" fontId="9" fillId="2" borderId="0" xfId="272" applyFont="1" applyFill="1" applyAlignment="1">
      <alignment horizontal="left" vertical="center"/>
    </xf>
    <xf numFmtId="0" fontId="10" fillId="2" borderId="0" xfId="272" applyFont="1" applyFill="1" applyAlignment="1">
      <alignment horizontal="left" vertical="center"/>
    </xf>
    <xf numFmtId="0" fontId="95" fillId="0" borderId="125" xfId="0" applyFont="1" applyBorder="1" applyAlignment="1">
      <alignment horizontal="left" vertical="center" wrapText="1" readingOrder="1"/>
    </xf>
    <xf numFmtId="0" fontId="95" fillId="0" borderId="121" xfId="0" applyFont="1" applyBorder="1" applyAlignment="1">
      <alignment horizontal="left" vertical="center" wrapText="1" readingOrder="1"/>
    </xf>
    <xf numFmtId="0" fontId="89" fillId="0" borderId="122" xfId="0" applyFont="1" applyBorder="1" applyAlignment="1">
      <alignment vertical="center" wrapText="1"/>
    </xf>
    <xf numFmtId="0" fontId="95" fillId="0" borderId="67" xfId="0" applyFont="1" applyBorder="1" applyAlignment="1">
      <alignment horizontal="center" vertical="center" wrapText="1"/>
    </xf>
    <xf numFmtId="0" fontId="95" fillId="0" borderId="122" xfId="0" applyFont="1" applyBorder="1" applyAlignment="1">
      <alignment horizontal="left" vertical="center" wrapText="1" readingOrder="1"/>
    </xf>
    <xf numFmtId="0" fontId="11" fillId="0" borderId="122" xfId="0" applyFont="1" applyBorder="1" applyAlignment="1">
      <alignment vertical="center" wrapText="1"/>
    </xf>
    <xf numFmtId="0" fontId="95" fillId="0" borderId="124" xfId="0" applyFont="1" applyBorder="1" applyAlignment="1">
      <alignment horizontal="left" vertical="center" wrapText="1" readingOrder="1"/>
    </xf>
    <xf numFmtId="0" fontId="95" fillId="0" borderId="69" xfId="0" applyFont="1" applyBorder="1" applyAlignment="1">
      <alignment horizontal="center" vertical="center" wrapText="1"/>
    </xf>
    <xf numFmtId="0" fontId="95" fillId="0" borderId="112" xfId="0" applyFont="1" applyBorder="1" applyAlignment="1">
      <alignment horizontal="left" vertical="center" wrapText="1" readingOrder="1"/>
    </xf>
    <xf numFmtId="0" fontId="95" fillId="0" borderId="112" xfId="0" applyFont="1" applyBorder="1" applyAlignment="1">
      <alignment horizontal="center" vertical="center" wrapText="1" readingOrder="1"/>
    </xf>
    <xf numFmtId="0" fontId="95" fillId="51" borderId="67" xfId="0" applyFont="1" applyFill="1" applyBorder="1" applyAlignment="1">
      <alignment horizontal="left" vertical="center" wrapText="1" readingOrder="1"/>
    </xf>
    <xf numFmtId="0" fontId="95" fillId="51" borderId="68" xfId="0" applyFont="1" applyFill="1" applyBorder="1" applyAlignment="1">
      <alignment horizontal="left" vertical="center" wrapText="1" readingOrder="1"/>
    </xf>
    <xf numFmtId="0" fontId="95" fillId="51" borderId="125" xfId="0" applyFont="1" applyFill="1" applyBorder="1" applyAlignment="1">
      <alignment horizontal="left" vertical="center" wrapText="1" readingOrder="1"/>
    </xf>
    <xf numFmtId="0" fontId="95" fillId="51" borderId="68" xfId="0" applyFont="1" applyFill="1" applyBorder="1" applyAlignment="1">
      <alignment horizontal="center" vertical="center" wrapText="1" readingOrder="1"/>
    </xf>
    <xf numFmtId="0" fontId="95" fillId="51" borderId="73" xfId="0" applyFont="1" applyFill="1" applyBorder="1" applyAlignment="1">
      <alignment horizontal="center" vertical="center" wrapText="1" readingOrder="1"/>
    </xf>
    <xf numFmtId="0" fontId="95" fillId="51" borderId="69" xfId="0" applyFont="1" applyFill="1" applyBorder="1" applyAlignment="1">
      <alignment horizontal="center" vertical="center" wrapText="1" readingOrder="1"/>
    </xf>
    <xf numFmtId="0" fontId="95" fillId="51" borderId="67" xfId="0" applyFont="1" applyFill="1" applyBorder="1" applyAlignment="1">
      <alignment horizontal="center" vertical="center" wrapText="1" readingOrder="1"/>
    </xf>
    <xf numFmtId="0" fontId="78" fillId="51" borderId="73" xfId="0" applyFont="1" applyFill="1" applyBorder="1" applyAlignment="1">
      <alignment horizontal="center" vertical="center" wrapText="1"/>
    </xf>
    <xf numFmtId="0" fontId="95" fillId="51" borderId="73" xfId="0" applyFont="1" applyFill="1" applyBorder="1" applyAlignment="1">
      <alignment horizontal="left" vertical="center" wrapText="1" readingOrder="1"/>
    </xf>
    <xf numFmtId="0" fontId="78" fillId="51" borderId="68" xfId="0" applyFont="1" applyFill="1" applyBorder="1" applyAlignment="1">
      <alignment horizontal="center" vertical="center" wrapText="1"/>
    </xf>
    <xf numFmtId="0" fontId="78" fillId="51" borderId="68" xfId="0" applyFont="1" applyFill="1" applyBorder="1" applyAlignment="1">
      <alignment vertical="center" wrapText="1"/>
    </xf>
    <xf numFmtId="0" fontId="78" fillId="51" borderId="69" xfId="0" applyFont="1" applyFill="1" applyBorder="1" applyAlignment="1">
      <alignment horizontal="center" vertical="center" wrapText="1"/>
    </xf>
    <xf numFmtId="0" fontId="95" fillId="0" borderId="63" xfId="0" applyFont="1" applyBorder="1" applyAlignment="1">
      <alignment horizontal="justify" vertical="center" wrapText="1" readingOrder="1"/>
    </xf>
    <xf numFmtId="0" fontId="11" fillId="47" borderId="63" xfId="0" applyFont="1" applyFill="1" applyBorder="1" applyAlignment="1">
      <alignment horizontal="center" vertical="center" wrapText="1"/>
    </xf>
    <xf numFmtId="0" fontId="71" fillId="0" borderId="63" xfId="0" applyFont="1" applyBorder="1" applyAlignment="1">
      <alignment horizontal="center" vertical="center" wrapText="1"/>
    </xf>
    <xf numFmtId="0" fontId="95" fillId="0" borderId="55" xfId="0" applyFont="1" applyBorder="1" applyAlignment="1">
      <alignment horizontal="center" vertical="center" wrapText="1" readingOrder="1"/>
    </xf>
    <xf numFmtId="0" fontId="95" fillId="0" borderId="55" xfId="0" applyFont="1" applyBorder="1" applyAlignment="1">
      <alignment horizontal="justify" vertical="center" wrapText="1" readingOrder="1"/>
    </xf>
    <xf numFmtId="0" fontId="11" fillId="47" borderId="55" xfId="0" applyFont="1" applyFill="1" applyBorder="1" applyAlignment="1">
      <alignment horizontal="center" vertical="center" wrapText="1"/>
    </xf>
    <xf numFmtId="0" fontId="10" fillId="0" borderId="127" xfId="0" applyFont="1" applyBorder="1">
      <alignment vertical="center"/>
    </xf>
    <xf numFmtId="0" fontId="95" fillId="0" borderId="123" xfId="0" quotePrefix="1" applyFont="1" applyBorder="1" applyAlignment="1">
      <alignment horizontal="left" vertical="center" wrapText="1" readingOrder="1"/>
    </xf>
    <xf numFmtId="0" fontId="95" fillId="0" borderId="73" xfId="0" applyFont="1" applyBorder="1" applyAlignment="1">
      <alignment horizontal="center" vertical="center" wrapText="1"/>
    </xf>
    <xf numFmtId="0" fontId="113" fillId="0" borderId="68" xfId="0" applyFont="1" applyBorder="1" applyAlignment="1">
      <alignment horizontal="center" vertical="center" wrapText="1"/>
    </xf>
    <xf numFmtId="0" fontId="113" fillId="0" borderId="68" xfId="0" applyFont="1" applyBorder="1" applyAlignment="1">
      <alignment horizontal="center" vertical="center" wrapText="1" readingOrder="1"/>
    </xf>
    <xf numFmtId="0" fontId="113" fillId="0" borderId="69" xfId="0" applyFont="1" applyBorder="1" applyAlignment="1">
      <alignment horizontal="center" vertical="center" wrapText="1"/>
    </xf>
    <xf numFmtId="0" fontId="113" fillId="0" borderId="73" xfId="0" applyFont="1" applyBorder="1" applyAlignment="1">
      <alignment horizontal="center" vertical="center" wrapText="1"/>
    </xf>
    <xf numFmtId="0" fontId="78" fillId="51" borderId="67" xfId="0" applyFont="1" applyFill="1" applyBorder="1" applyAlignment="1">
      <alignment horizontal="center" vertical="center" wrapText="1"/>
    </xf>
    <xf numFmtId="0" fontId="95" fillId="51" borderId="69" xfId="0" applyFont="1" applyFill="1" applyBorder="1" applyAlignment="1">
      <alignment horizontal="left" vertical="center" wrapText="1" readingOrder="1"/>
    </xf>
    <xf numFmtId="0" fontId="95" fillId="51" borderId="67" xfId="0" applyFont="1" applyFill="1" applyBorder="1" applyAlignment="1">
      <alignment vertical="center" wrapText="1" readingOrder="1"/>
    </xf>
    <xf numFmtId="0" fontId="95" fillId="51" borderId="67" xfId="0" applyFont="1" applyFill="1" applyBorder="1" applyAlignment="1">
      <alignment horizontal="center" vertical="center" wrapText="1"/>
    </xf>
    <xf numFmtId="0" fontId="95" fillId="51" borderId="121" xfId="0" applyFont="1" applyFill="1" applyBorder="1" applyAlignment="1">
      <alignment horizontal="left" vertical="center" wrapText="1" readingOrder="1"/>
    </xf>
    <xf numFmtId="0" fontId="95" fillId="51" borderId="122" xfId="0" applyFont="1" applyFill="1" applyBorder="1" applyAlignment="1">
      <alignment horizontal="left" vertical="center" wrapText="1" readingOrder="1"/>
    </xf>
    <xf numFmtId="0" fontId="95" fillId="51" borderId="68" xfId="0" applyFont="1" applyFill="1" applyBorder="1" applyAlignment="1">
      <alignment horizontal="center" vertical="center" wrapText="1"/>
    </xf>
    <xf numFmtId="0" fontId="11" fillId="51" borderId="122" xfId="0" applyFont="1" applyFill="1" applyBorder="1" applyAlignment="1">
      <alignment vertical="center" wrapText="1"/>
    </xf>
    <xf numFmtId="0" fontId="95" fillId="51" borderId="124" xfId="0" applyFont="1" applyFill="1" applyBorder="1" applyAlignment="1">
      <alignment horizontal="left" vertical="center" wrapText="1" readingOrder="1"/>
    </xf>
    <xf numFmtId="0" fontId="95" fillId="51" borderId="69" xfId="0" applyFont="1" applyFill="1" applyBorder="1" applyAlignment="1">
      <alignment horizontal="center" vertical="center" wrapText="1"/>
    </xf>
    <xf numFmtId="0" fontId="89" fillId="51" borderId="122" xfId="0" applyFont="1" applyFill="1" applyBorder="1" applyAlignment="1">
      <alignment vertical="center" wrapText="1"/>
    </xf>
    <xf numFmtId="0" fontId="95" fillId="52" borderId="125" xfId="0" applyFont="1" applyFill="1" applyBorder="1" applyAlignment="1">
      <alignment horizontal="left" vertical="center" wrapText="1" readingOrder="1"/>
    </xf>
    <xf numFmtId="0" fontId="95" fillId="52" borderId="68" xfId="0" applyFont="1" applyFill="1" applyBorder="1" applyAlignment="1">
      <alignment horizontal="center" vertical="center" wrapText="1" readingOrder="1"/>
    </xf>
    <xf numFmtId="0" fontId="10" fillId="2" borderId="1" xfId="3" quotePrefix="1" applyFont="1" applyFill="1" applyBorder="1" applyAlignment="1">
      <alignment horizontal="left" vertical="center" wrapText="1" indent="1"/>
    </xf>
    <xf numFmtId="0" fontId="78" fillId="0" borderId="0" xfId="0" applyFont="1" applyAlignment="1">
      <alignment horizontal="center" vertical="center"/>
    </xf>
    <xf numFmtId="49" fontId="79" fillId="0" borderId="0" xfId="0" applyNumberFormat="1" applyFont="1" applyAlignment="1">
      <alignment horizontal="center" vertical="center" wrapText="1"/>
    </xf>
    <xf numFmtId="0" fontId="95" fillId="53" borderId="67" xfId="0" applyFont="1" applyFill="1" applyBorder="1" applyAlignment="1">
      <alignment horizontal="center" vertical="center" wrapText="1" readingOrder="1"/>
    </xf>
    <xf numFmtId="0" fontId="95" fillId="53" borderId="67" xfId="0" applyFont="1" applyFill="1" applyBorder="1" applyAlignment="1">
      <alignment horizontal="left" vertical="center" wrapText="1" readingOrder="1"/>
    </xf>
    <xf numFmtId="0" fontId="78" fillId="53" borderId="67" xfId="0" applyFont="1" applyFill="1" applyBorder="1" applyAlignment="1">
      <alignment vertical="center" wrapText="1"/>
    </xf>
    <xf numFmtId="0" fontId="95" fillId="53" borderId="68" xfId="0" applyFont="1" applyFill="1" applyBorder="1" applyAlignment="1">
      <alignment horizontal="center" vertical="center" wrapText="1" readingOrder="1"/>
    </xf>
    <xf numFmtId="0" fontId="95" fillId="53" borderId="68" xfId="0" applyFont="1" applyFill="1" applyBorder="1" applyAlignment="1">
      <alignment horizontal="left" vertical="center" wrapText="1" readingOrder="1"/>
    </xf>
    <xf numFmtId="0" fontId="78" fillId="53" borderId="68" xfId="0" applyFont="1" applyFill="1" applyBorder="1" applyAlignment="1">
      <alignment vertical="center" wrapText="1"/>
    </xf>
    <xf numFmtId="0" fontId="78" fillId="53" borderId="68" xfId="0" applyFont="1" applyFill="1" applyBorder="1" applyAlignment="1">
      <alignment horizontal="center" vertical="center" wrapText="1"/>
    </xf>
    <xf numFmtId="0" fontId="95" fillId="53" borderId="128" xfId="433" applyFont="1" applyFill="1" applyBorder="1" applyAlignment="1">
      <alignment horizontal="left" vertical="center" wrapText="1" readingOrder="1"/>
    </xf>
    <xf numFmtId="0" fontId="115" fillId="53" borderId="68" xfId="0" applyFont="1" applyFill="1" applyBorder="1" applyAlignment="1">
      <alignment horizontal="center" vertical="center" wrapText="1" readingOrder="1"/>
    </xf>
    <xf numFmtId="0" fontId="95" fillId="53" borderId="69" xfId="0" applyFont="1" applyFill="1" applyBorder="1" applyAlignment="1">
      <alignment horizontal="center" vertical="center" wrapText="1" readingOrder="1"/>
    </xf>
    <xf numFmtId="0" fontId="95" fillId="53" borderId="69" xfId="0" applyFont="1" applyFill="1" applyBorder="1" applyAlignment="1">
      <alignment horizontal="left" vertical="center" wrapText="1" readingOrder="1"/>
    </xf>
    <xf numFmtId="0" fontId="78" fillId="53" borderId="69" xfId="0" applyFont="1" applyFill="1" applyBorder="1" applyAlignment="1">
      <alignment vertical="center" wrapText="1"/>
    </xf>
    <xf numFmtId="0" fontId="95" fillId="53" borderId="73" xfId="0" applyFont="1" applyFill="1" applyBorder="1" applyAlignment="1">
      <alignment horizontal="center" vertical="center" wrapText="1" readingOrder="1"/>
    </xf>
    <xf numFmtId="0" fontId="95" fillId="53" borderId="73" xfId="0" applyFont="1" applyFill="1" applyBorder="1" applyAlignment="1">
      <alignment horizontal="left" vertical="center" wrapText="1" readingOrder="1"/>
    </xf>
    <xf numFmtId="0" fontId="78" fillId="53" borderId="73" xfId="0" applyFont="1" applyFill="1" applyBorder="1" applyAlignment="1">
      <alignment vertical="center" wrapText="1"/>
    </xf>
    <xf numFmtId="0" fontId="78" fillId="53" borderId="69" xfId="0" applyFont="1" applyFill="1" applyBorder="1" applyAlignment="1">
      <alignment horizontal="center" vertical="center" wrapText="1"/>
    </xf>
    <xf numFmtId="0" fontId="78" fillId="53" borderId="67" xfId="0" applyFont="1" applyFill="1" applyBorder="1" applyAlignment="1">
      <alignment vertical="center" wrapText="1" readingOrder="1"/>
    </xf>
    <xf numFmtId="0" fontId="78" fillId="53" borderId="73" xfId="0" applyFont="1" applyFill="1" applyBorder="1" applyAlignment="1">
      <alignment vertical="center" wrapText="1" readingOrder="1"/>
    </xf>
    <xf numFmtId="0" fontId="78" fillId="53" borderId="68" xfId="0" applyFont="1" applyFill="1" applyBorder="1" applyAlignment="1">
      <alignment vertical="center" wrapText="1" readingOrder="1"/>
    </xf>
    <xf numFmtId="0" fontId="95" fillId="53" borderId="68" xfId="0" applyFont="1" applyFill="1" applyBorder="1" applyAlignment="1">
      <alignment vertical="center" wrapText="1" readingOrder="1"/>
    </xf>
    <xf numFmtId="0" fontId="95" fillId="53" borderId="69" xfId="0" applyFont="1" applyFill="1" applyBorder="1" applyAlignment="1">
      <alignment vertical="center" wrapText="1" readingOrder="1"/>
    </xf>
    <xf numFmtId="0" fontId="89" fillId="2" borderId="19" xfId="3" applyFont="1" applyFill="1" applyBorder="1" applyAlignment="1">
      <alignment horizontal="center" vertical="center"/>
    </xf>
    <xf numFmtId="0" fontId="89" fillId="2" borderId="7" xfId="3" applyFont="1" applyFill="1" applyBorder="1" applyAlignment="1">
      <alignment horizontal="center" vertical="center"/>
    </xf>
    <xf numFmtId="0" fontId="89" fillId="2" borderId="5" xfId="3" applyFont="1" applyFill="1" applyBorder="1" applyAlignment="1">
      <alignment vertical="center"/>
    </xf>
    <xf numFmtId="0" fontId="89" fillId="2" borderId="6" xfId="3" applyFont="1" applyFill="1" applyBorder="1" applyAlignment="1">
      <alignment vertical="center"/>
    </xf>
    <xf numFmtId="0" fontId="89" fillId="2" borderId="7" xfId="3" applyFont="1" applyFill="1" applyBorder="1" applyAlignment="1">
      <alignment vertical="center"/>
    </xf>
    <xf numFmtId="0" fontId="89" fillId="2" borderId="5" xfId="3" applyFont="1" applyFill="1" applyBorder="1" applyAlignment="1">
      <alignment horizontal="center" vertical="center"/>
    </xf>
    <xf numFmtId="0" fontId="89" fillId="2" borderId="6" xfId="3" applyFont="1" applyFill="1" applyBorder="1" applyAlignment="1">
      <alignment horizontal="center" vertical="center"/>
    </xf>
    <xf numFmtId="0" fontId="89" fillId="2" borderId="23" xfId="3" applyFont="1" applyFill="1" applyBorder="1" applyAlignment="1">
      <alignment horizontal="center" vertical="center"/>
    </xf>
    <xf numFmtId="0" fontId="89" fillId="2" borderId="20" xfId="3" applyFont="1" applyFill="1" applyBorder="1" applyAlignment="1">
      <alignment horizontal="center" vertical="center"/>
    </xf>
    <xf numFmtId="0" fontId="89" fillId="2" borderId="15" xfId="3" applyFont="1" applyFill="1" applyBorder="1" applyAlignment="1">
      <alignment horizontal="center" vertical="center"/>
    </xf>
    <xf numFmtId="0" fontId="89" fillId="2" borderId="13" xfId="3" applyFont="1" applyFill="1" applyBorder="1" applyAlignment="1">
      <alignment vertical="center"/>
    </xf>
    <xf numFmtId="0" fontId="89" fillId="2" borderId="14" xfId="3" applyFont="1" applyFill="1" applyBorder="1" applyAlignment="1">
      <alignment vertical="center"/>
    </xf>
    <xf numFmtId="0" fontId="89" fillId="2" borderId="15" xfId="3" applyFont="1" applyFill="1" applyBorder="1" applyAlignment="1">
      <alignment vertical="center"/>
    </xf>
    <xf numFmtId="0" fontId="89" fillId="2" borderId="13" xfId="3" applyFont="1" applyFill="1" applyBorder="1" applyAlignment="1">
      <alignment horizontal="center" vertical="center"/>
    </xf>
    <xf numFmtId="0" fontId="89" fillId="2" borderId="14" xfId="3" applyFont="1" applyFill="1" applyBorder="1" applyAlignment="1">
      <alignment horizontal="center" vertical="center"/>
    </xf>
    <xf numFmtId="0" fontId="89" fillId="2" borderId="24" xfId="3" applyFont="1" applyFill="1" applyBorder="1" applyAlignment="1">
      <alignment horizontal="center" vertical="center"/>
    </xf>
    <xf numFmtId="0" fontId="111" fillId="2" borderId="0" xfId="272" applyFont="1" applyFill="1" applyAlignment="1">
      <alignment horizontal="right" vertical="center"/>
    </xf>
    <xf numFmtId="0" fontId="112" fillId="2" borderId="0" xfId="272" applyFont="1" applyFill="1" applyAlignment="1">
      <alignment horizontal="right" vertical="center"/>
    </xf>
    <xf numFmtId="0" fontId="90" fillId="2" borderId="0" xfId="3" applyFont="1" applyFill="1" applyAlignment="1">
      <alignment horizontal="center" vertical="top" wrapText="1"/>
    </xf>
    <xf numFmtId="0" fontId="90" fillId="2" borderId="0" xfId="3" applyFont="1" applyFill="1" applyAlignment="1">
      <alignment horizontal="center" vertical="top"/>
    </xf>
    <xf numFmtId="0" fontId="90" fillId="2" borderId="0" xfId="3" applyFont="1" applyFill="1" applyAlignment="1">
      <alignment horizontal="right" vertical="top" indent="1"/>
    </xf>
    <xf numFmtId="49" fontId="93" fillId="2" borderId="0" xfId="3" applyNumberFormat="1" applyFont="1" applyFill="1" applyAlignment="1">
      <alignment horizontal="center" vertical="center"/>
    </xf>
    <xf numFmtId="0" fontId="92" fillId="2" borderId="0" xfId="3" applyFont="1" applyFill="1" applyAlignment="1">
      <alignment horizontal="right" vertical="center" indent="1"/>
    </xf>
    <xf numFmtId="0" fontId="89" fillId="2" borderId="16" xfId="3" applyFont="1" applyFill="1" applyBorder="1" applyAlignment="1">
      <alignment vertical="center"/>
    </xf>
    <xf numFmtId="0" fontId="89" fillId="2" borderId="21" xfId="3" applyFont="1" applyFill="1" applyBorder="1" applyAlignment="1">
      <alignment vertical="center"/>
    </xf>
    <xf numFmtId="0" fontId="89" fillId="2" borderId="17" xfId="3" applyFont="1" applyFill="1" applyBorder="1" applyAlignment="1">
      <alignment vertical="center"/>
    </xf>
    <xf numFmtId="0" fontId="89" fillId="2" borderId="16" xfId="3" applyFont="1" applyFill="1" applyBorder="1" applyAlignment="1">
      <alignment horizontal="center" vertical="center"/>
    </xf>
    <xf numFmtId="0" fontId="89" fillId="2" borderId="17" xfId="3" applyFont="1" applyFill="1" applyBorder="1" applyAlignment="1">
      <alignment horizontal="center" vertical="center"/>
    </xf>
    <xf numFmtId="0" fontId="89" fillId="2" borderId="21" xfId="3" applyFont="1" applyFill="1" applyBorder="1" applyAlignment="1">
      <alignment horizontal="center" vertical="center"/>
    </xf>
    <xf numFmtId="0" fontId="89" fillId="2" borderId="22" xfId="3" applyFont="1" applyFill="1" applyBorder="1" applyAlignment="1">
      <alignment horizontal="center" vertical="center"/>
    </xf>
    <xf numFmtId="0" fontId="89" fillId="2" borderId="18" xfId="3" applyFont="1" applyFill="1" applyBorder="1" applyAlignment="1">
      <alignment horizontal="center" vertical="center"/>
    </xf>
    <xf numFmtId="0" fontId="8" fillId="2" borderId="25" xfId="3" applyFont="1" applyFill="1" applyBorder="1" applyAlignment="1">
      <alignment horizontal="center" vertical="center"/>
    </xf>
    <xf numFmtId="0" fontId="103" fillId="0" borderId="70" xfId="0" applyFont="1" applyBorder="1" applyAlignment="1">
      <alignment horizontal="center" vertical="center"/>
    </xf>
    <xf numFmtId="0" fontId="103" fillId="0" borderId="72" xfId="0" applyFont="1" applyBorder="1" applyAlignment="1">
      <alignment horizontal="center" vertical="center"/>
    </xf>
    <xf numFmtId="0" fontId="103" fillId="0" borderId="104" xfId="0" applyFont="1" applyBorder="1" applyAlignment="1">
      <alignment horizontal="center" vertical="center"/>
    </xf>
    <xf numFmtId="0" fontId="103" fillId="0" borderId="105" xfId="0" applyFont="1" applyBorder="1" applyAlignment="1">
      <alignment horizontal="center" vertical="center"/>
    </xf>
    <xf numFmtId="0" fontId="103" fillId="0" borderId="106" xfId="0" applyFont="1" applyBorder="1" applyAlignment="1">
      <alignment horizontal="center" vertical="center"/>
    </xf>
    <xf numFmtId="0" fontId="103" fillId="0" borderId="101" xfId="0" applyFont="1" applyBorder="1" applyAlignment="1">
      <alignment horizontal="center" vertical="center"/>
    </xf>
    <xf numFmtId="0" fontId="103" fillId="0" borderId="102" xfId="0" applyFont="1" applyBorder="1" applyAlignment="1">
      <alignment horizontal="center" vertical="center"/>
    </xf>
    <xf numFmtId="0" fontId="7" fillId="48" borderId="5" xfId="0" applyFont="1" applyFill="1" applyBorder="1" applyAlignment="1">
      <alignment horizontal="center" vertical="center" wrapText="1"/>
    </xf>
    <xf numFmtId="0" fontId="7" fillId="48" borderId="6" xfId="0" applyFont="1" applyFill="1" applyBorder="1" applyAlignment="1">
      <alignment horizontal="center" vertical="center" wrapText="1"/>
    </xf>
    <xf numFmtId="0" fontId="7" fillId="48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0" borderId="60" xfId="0" applyFont="1" applyFill="1" applyBorder="1" applyAlignment="1">
      <alignment horizontal="center" vertical="center"/>
    </xf>
    <xf numFmtId="0" fontId="6" fillId="50" borderId="5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6" fillId="47" borderId="35" xfId="0" applyFont="1" applyFill="1" applyBorder="1" applyAlignment="1">
      <alignment horizontal="center" vertical="center"/>
    </xf>
    <xf numFmtId="0" fontId="101" fillId="50" borderId="100" xfId="0" applyFont="1" applyFill="1" applyBorder="1" applyAlignment="1">
      <alignment horizontal="center" vertical="center"/>
    </xf>
    <xf numFmtId="0" fontId="101" fillId="50" borderId="39" xfId="0" applyFont="1" applyFill="1" applyBorder="1" applyAlignment="1">
      <alignment horizontal="center" vertical="center"/>
    </xf>
    <xf numFmtId="0" fontId="101" fillId="50" borderId="98" xfId="0" applyFont="1" applyFill="1" applyBorder="1" applyAlignment="1">
      <alignment horizontal="center" vertical="center"/>
    </xf>
    <xf numFmtId="0" fontId="6" fillId="47" borderId="11" xfId="0" applyFont="1" applyFill="1" applyBorder="1" applyAlignment="1">
      <alignment horizontal="center" vertical="center"/>
    </xf>
    <xf numFmtId="0" fontId="6" fillId="47" borderId="10" xfId="0" applyFont="1" applyFill="1" applyBorder="1" applyAlignment="1">
      <alignment horizontal="center" vertical="center"/>
    </xf>
    <xf numFmtId="0" fontId="6" fillId="47" borderId="99" xfId="0" applyFont="1" applyFill="1" applyBorder="1" applyAlignment="1">
      <alignment horizontal="center" vertical="center"/>
    </xf>
    <xf numFmtId="0" fontId="6" fillId="47" borderId="36" xfId="0" applyFont="1" applyFill="1" applyBorder="1" applyAlignment="1">
      <alignment horizontal="center" vertical="center"/>
    </xf>
    <xf numFmtId="0" fontId="6" fillId="47" borderId="34" xfId="0" applyFont="1" applyFill="1" applyBorder="1" applyAlignment="1">
      <alignment horizontal="center" vertical="center"/>
    </xf>
    <xf numFmtId="0" fontId="82" fillId="0" borderId="52" xfId="0" applyFont="1" applyBorder="1" applyAlignment="1">
      <alignment horizontal="left" vertical="center" wrapText="1" readingOrder="1"/>
    </xf>
    <xf numFmtId="0" fontId="82" fillId="0" borderId="53" xfId="0" applyFont="1" applyBorder="1" applyAlignment="1">
      <alignment horizontal="left" vertical="center" wrapText="1" readingOrder="1"/>
    </xf>
    <xf numFmtId="0" fontId="82" fillId="0" borderId="61" xfId="0" applyFont="1" applyBorder="1" applyAlignment="1">
      <alignment horizontal="left" vertical="center" wrapText="1" readingOrder="1"/>
    </xf>
    <xf numFmtId="0" fontId="82" fillId="0" borderId="86" xfId="0" applyFont="1" applyBorder="1" applyAlignment="1">
      <alignment horizontal="left" vertical="center" wrapText="1" readingOrder="1"/>
    </xf>
    <xf numFmtId="0" fontId="82" fillId="0" borderId="83" xfId="0" applyFont="1" applyBorder="1" applyAlignment="1">
      <alignment horizontal="left" vertical="center" wrapText="1" readingOrder="1"/>
    </xf>
    <xf numFmtId="0" fontId="82" fillId="0" borderId="84" xfId="0" applyFont="1" applyBorder="1" applyAlignment="1">
      <alignment horizontal="left" vertical="center" wrapText="1" readingOrder="1"/>
    </xf>
    <xf numFmtId="0" fontId="7" fillId="48" borderId="1" xfId="0" applyFont="1" applyFill="1" applyBorder="1" applyAlignment="1">
      <alignment horizontal="center" vertical="center" wrapText="1"/>
    </xf>
    <xf numFmtId="0" fontId="82" fillId="0" borderId="88" xfId="0" applyFont="1" applyBorder="1" applyAlignment="1">
      <alignment horizontal="left" vertical="center" wrapText="1" readingOrder="1"/>
    </xf>
    <xf numFmtId="0" fontId="82" fillId="0" borderId="89" xfId="0" applyFont="1" applyBorder="1" applyAlignment="1">
      <alignment horizontal="left" vertical="center" wrapText="1" readingOrder="1"/>
    </xf>
    <xf numFmtId="0" fontId="81" fillId="50" borderId="91" xfId="0" applyFont="1" applyFill="1" applyBorder="1" applyAlignment="1">
      <alignment horizontal="center" vertical="center" wrapText="1" readingOrder="1"/>
    </xf>
    <xf numFmtId="0" fontId="81" fillId="50" borderId="39" xfId="0" applyFont="1" applyFill="1" applyBorder="1" applyAlignment="1">
      <alignment horizontal="center" vertical="center" wrapText="1" readingOrder="1"/>
    </xf>
    <xf numFmtId="0" fontId="81" fillId="50" borderId="92" xfId="0" applyFont="1" applyFill="1" applyBorder="1" applyAlignment="1">
      <alignment horizontal="center" vertical="center" wrapText="1" readingOrder="1"/>
    </xf>
    <xf numFmtId="0" fontId="81" fillId="49" borderId="75" xfId="0" applyFont="1" applyFill="1" applyBorder="1" applyAlignment="1">
      <alignment horizontal="center" vertical="center" wrapText="1" readingOrder="1"/>
    </xf>
    <xf numFmtId="0" fontId="81" fillId="49" borderId="76" xfId="0" applyFont="1" applyFill="1" applyBorder="1" applyAlignment="1">
      <alignment horizontal="center" vertical="center" wrapText="1" readingOrder="1"/>
    </xf>
    <xf numFmtId="0" fontId="81" fillId="49" borderId="77" xfId="0" applyFont="1" applyFill="1" applyBorder="1" applyAlignment="1">
      <alignment horizontal="center" vertical="center" wrapText="1" readingOrder="1"/>
    </xf>
    <xf numFmtId="0" fontId="81" fillId="50" borderId="95" xfId="0" applyFont="1" applyFill="1" applyBorder="1" applyAlignment="1">
      <alignment horizontal="center" vertical="center" wrapText="1" readingOrder="1"/>
    </xf>
    <xf numFmtId="0" fontId="81" fillId="50" borderId="96" xfId="0" applyFont="1" applyFill="1" applyBorder="1" applyAlignment="1">
      <alignment horizontal="center" vertical="center" wrapText="1" readingOrder="1"/>
    </xf>
    <xf numFmtId="0" fontId="81" fillId="50" borderId="84" xfId="0" applyFont="1" applyFill="1" applyBorder="1" applyAlignment="1">
      <alignment horizontal="center" vertical="center" wrapText="1" readingOrder="1"/>
    </xf>
    <xf numFmtId="0" fontId="95" fillId="0" borderId="59" xfId="0" applyFont="1" applyBorder="1" applyAlignment="1">
      <alignment horizontal="center" vertical="center" wrapText="1" readingOrder="1"/>
    </xf>
    <xf numFmtId="0" fontId="95" fillId="0" borderId="57" xfId="0" applyFont="1" applyBorder="1" applyAlignment="1">
      <alignment horizontal="center" vertical="center" wrapText="1" readingOrder="1"/>
    </xf>
    <xf numFmtId="0" fontId="95" fillId="0" borderId="58" xfId="0" applyFont="1" applyBorder="1" applyAlignment="1">
      <alignment horizontal="center" vertical="center" wrapText="1" readingOrder="1"/>
    </xf>
    <xf numFmtId="0" fontId="95" fillId="48" borderId="110" xfId="0" applyFont="1" applyFill="1" applyBorder="1" applyAlignment="1">
      <alignment horizontal="center" vertical="center" wrapText="1" readingOrder="1"/>
    </xf>
    <xf numFmtId="0" fontId="95" fillId="48" borderId="0" xfId="0" applyFont="1" applyFill="1" applyAlignment="1">
      <alignment horizontal="center" vertical="center" wrapText="1" readingOrder="1"/>
    </xf>
    <xf numFmtId="0" fontId="95" fillId="48" borderId="111" xfId="0" applyFont="1" applyFill="1" applyBorder="1" applyAlignment="1">
      <alignment horizontal="center" vertical="center" wrapText="1" readingOrder="1"/>
    </xf>
    <xf numFmtId="0" fontId="95" fillId="48" borderId="91" xfId="0" applyFont="1" applyFill="1" applyBorder="1" applyAlignment="1">
      <alignment horizontal="center" vertical="center" wrapText="1" readingOrder="1"/>
    </xf>
    <xf numFmtId="0" fontId="95" fillId="48" borderId="39" xfId="0" applyFont="1" applyFill="1" applyBorder="1" applyAlignment="1">
      <alignment horizontal="center" vertical="center" wrapText="1" readingOrder="1"/>
    </xf>
    <xf numFmtId="0" fontId="95" fillId="48" borderId="98" xfId="0" applyFont="1" applyFill="1" applyBorder="1" applyAlignment="1">
      <alignment horizontal="center" vertical="center" wrapText="1" readingOrder="1"/>
    </xf>
    <xf numFmtId="0" fontId="95" fillId="0" borderId="65" xfId="0" applyFont="1" applyBorder="1" applyAlignment="1">
      <alignment horizontal="center" vertical="center" wrapText="1" readingOrder="1"/>
    </xf>
    <xf numFmtId="0" fontId="95" fillId="0" borderId="126" xfId="0" applyFont="1" applyBorder="1" applyAlignment="1">
      <alignment horizontal="center" vertical="center" wrapText="1" readingOrder="1"/>
    </xf>
    <xf numFmtId="0" fontId="94" fillId="48" borderId="1" xfId="296" applyFont="1" applyFill="1" applyBorder="1" applyAlignment="1">
      <alignment horizontal="center" vertical="center"/>
    </xf>
    <xf numFmtId="0" fontId="9" fillId="50" borderId="91" xfId="0" applyFont="1" applyFill="1" applyBorder="1" applyAlignment="1">
      <alignment horizontal="center" vertical="center"/>
    </xf>
    <xf numFmtId="0" fontId="9" fillId="50" borderId="98" xfId="0" applyFont="1" applyFill="1" applyBorder="1" applyAlignment="1">
      <alignment horizontal="center" vertical="center"/>
    </xf>
    <xf numFmtId="0" fontId="94" fillId="48" borderId="1" xfId="296" applyFont="1" applyFill="1" applyBorder="1" applyAlignment="1">
      <alignment horizontal="center" vertical="center" wrapText="1"/>
    </xf>
    <xf numFmtId="0" fontId="99" fillId="48" borderId="5" xfId="296" applyFont="1" applyFill="1" applyBorder="1" applyAlignment="1">
      <alignment horizontal="center" vertical="center"/>
    </xf>
    <xf numFmtId="0" fontId="99" fillId="48" borderId="7" xfId="296" applyFont="1" applyFill="1" applyBorder="1" applyAlignment="1">
      <alignment horizontal="center" vertical="center"/>
    </xf>
    <xf numFmtId="0" fontId="99" fillId="48" borderId="1" xfId="296" applyFont="1" applyFill="1" applyBorder="1" applyAlignment="1">
      <alignment horizontal="center" vertical="center"/>
    </xf>
    <xf numFmtId="0" fontId="105" fillId="53" borderId="115" xfId="0" applyFont="1" applyFill="1" applyBorder="1" applyAlignment="1">
      <alignment horizontal="center" vertical="top" wrapText="1" readingOrder="1"/>
    </xf>
    <xf numFmtId="0" fontId="105" fillId="53" borderId="116" xfId="0" applyFont="1" applyFill="1" applyBorder="1" applyAlignment="1">
      <alignment horizontal="center" vertical="top" wrapText="1" readingOrder="1"/>
    </xf>
    <xf numFmtId="0" fontId="105" fillId="53" borderId="101" xfId="0" applyFont="1" applyFill="1" applyBorder="1" applyAlignment="1">
      <alignment horizontal="center" vertical="top" wrapText="1" readingOrder="1"/>
    </xf>
    <xf numFmtId="0" fontId="95" fillId="53" borderId="114" xfId="0" applyFont="1" applyFill="1" applyBorder="1" applyAlignment="1">
      <alignment horizontal="center" vertical="top" wrapText="1" readingOrder="1"/>
    </xf>
    <xf numFmtId="0" fontId="95" fillId="53" borderId="62" xfId="0" applyFont="1" applyFill="1" applyBorder="1" applyAlignment="1">
      <alignment horizontal="center" vertical="top" wrapText="1" readingOrder="1"/>
    </xf>
    <xf numFmtId="0" fontId="95" fillId="53" borderId="113" xfId="0" applyFont="1" applyFill="1" applyBorder="1" applyAlignment="1">
      <alignment horizontal="center" vertical="top" wrapText="1" readingOrder="1"/>
    </xf>
    <xf numFmtId="0" fontId="95" fillId="47" borderId="64" xfId="0" applyFont="1" applyFill="1" applyBorder="1" applyAlignment="1">
      <alignment horizontal="center" vertical="center" wrapText="1" readingOrder="1"/>
    </xf>
    <xf numFmtId="0" fontId="95" fillId="47" borderId="117" xfId="0" applyFont="1" applyFill="1" applyBorder="1" applyAlignment="1">
      <alignment horizontal="center" vertical="center" wrapText="1" readingOrder="1"/>
    </xf>
    <xf numFmtId="0" fontId="95" fillId="47" borderId="102" xfId="0" applyFont="1" applyFill="1" applyBorder="1" applyAlignment="1">
      <alignment horizontal="center" vertical="center" wrapText="1" readingOrder="1"/>
    </xf>
    <xf numFmtId="0" fontId="78" fillId="53" borderId="74" xfId="0" quotePrefix="1" applyFont="1" applyFill="1" applyBorder="1" applyAlignment="1">
      <alignment horizontal="left" vertical="center" wrapText="1"/>
    </xf>
    <xf numFmtId="0" fontId="78" fillId="53" borderId="62" xfId="0" applyFont="1" applyFill="1" applyBorder="1" applyAlignment="1">
      <alignment horizontal="left" vertical="center" wrapText="1"/>
    </xf>
    <xf numFmtId="0" fontId="78" fillId="53" borderId="113" xfId="0" applyFont="1" applyFill="1" applyBorder="1" applyAlignment="1">
      <alignment horizontal="left" vertical="center" wrapText="1"/>
    </xf>
    <xf numFmtId="0" fontId="113" fillId="53" borderId="74" xfId="0" applyFont="1" applyFill="1" applyBorder="1" applyAlignment="1">
      <alignment horizontal="left" vertical="center" wrapText="1" readingOrder="1"/>
    </xf>
    <xf numFmtId="0" fontId="95" fillId="53" borderId="62" xfId="0" applyFont="1" applyFill="1" applyBorder="1" applyAlignment="1">
      <alignment horizontal="left" vertical="center" wrapText="1" readingOrder="1"/>
    </xf>
    <xf numFmtId="0" fontId="95" fillId="53" borderId="113" xfId="0" applyFont="1" applyFill="1" applyBorder="1" applyAlignment="1">
      <alignment horizontal="left" vertical="center" wrapText="1" readingOrder="1"/>
    </xf>
    <xf numFmtId="0" fontId="113" fillId="53" borderId="114" xfId="0" applyFont="1" applyFill="1" applyBorder="1" applyAlignment="1">
      <alignment horizontal="left" vertical="center" wrapText="1" readingOrder="1"/>
    </xf>
    <xf numFmtId="0" fontId="95" fillId="53" borderId="73" xfId="0" applyFont="1" applyFill="1" applyBorder="1" applyAlignment="1">
      <alignment horizontal="left" vertical="center" wrapText="1" readingOrder="1"/>
    </xf>
    <xf numFmtId="0" fontId="95" fillId="0" borderId="114" xfId="0" applyFont="1" applyBorder="1" applyAlignment="1">
      <alignment horizontal="center" vertical="top" wrapText="1" readingOrder="1"/>
    </xf>
    <xf numFmtId="0" fontId="95" fillId="0" borderId="62" xfId="0" applyFont="1" applyBorder="1" applyAlignment="1">
      <alignment horizontal="center" vertical="top" wrapText="1" readingOrder="1"/>
    </xf>
    <xf numFmtId="0" fontId="95" fillId="0" borderId="113" xfId="0" applyFont="1" applyBorder="1" applyAlignment="1">
      <alignment horizontal="center" vertical="top" wrapText="1" readingOrder="1"/>
    </xf>
    <xf numFmtId="0" fontId="95" fillId="0" borderId="63" xfId="0" applyFont="1" applyBorder="1" applyAlignment="1">
      <alignment horizontal="center" vertical="top" wrapText="1" readingOrder="1"/>
    </xf>
    <xf numFmtId="0" fontId="95" fillId="0" borderId="1" xfId="0" applyFont="1" applyBorder="1" applyAlignment="1">
      <alignment horizontal="center" vertical="top" wrapText="1" readingOrder="1"/>
    </xf>
    <xf numFmtId="0" fontId="95" fillId="0" borderId="36" xfId="0" applyFont="1" applyBorder="1" applyAlignment="1">
      <alignment horizontal="center" vertical="top" wrapText="1" readingOrder="1"/>
    </xf>
    <xf numFmtId="0" fontId="105" fillId="0" borderId="115" xfId="0" applyFont="1" applyBorder="1" applyAlignment="1">
      <alignment horizontal="center" vertical="top" wrapText="1" readingOrder="1"/>
    </xf>
    <xf numFmtId="0" fontId="105" fillId="0" borderId="116" xfId="0" applyFont="1" applyBorder="1" applyAlignment="1">
      <alignment horizontal="center" vertical="top" wrapText="1" readingOrder="1"/>
    </xf>
    <xf numFmtId="0" fontId="105" fillId="0" borderId="101" xfId="0" applyFont="1" applyBorder="1" applyAlignment="1">
      <alignment horizontal="center" vertical="top" wrapText="1" readingOrder="1"/>
    </xf>
    <xf numFmtId="0" fontId="0" fillId="0" borderId="117" xfId="0" applyBorder="1" applyAlignment="1">
      <alignment horizontal="center" vertical="center" wrapText="1" readingOrder="1"/>
    </xf>
    <xf numFmtId="0" fontId="0" fillId="0" borderId="102" xfId="0" applyBorder="1" applyAlignment="1">
      <alignment horizontal="center" vertical="center" wrapText="1" readingOrder="1"/>
    </xf>
    <xf numFmtId="0" fontId="95" fillId="47" borderId="64" xfId="0" applyFont="1" applyFill="1" applyBorder="1" applyAlignment="1">
      <alignment horizontal="center" vertical="center" wrapText="1"/>
    </xf>
    <xf numFmtId="0" fontId="95" fillId="47" borderId="117" xfId="0" applyFont="1" applyFill="1" applyBorder="1" applyAlignment="1">
      <alignment horizontal="center" vertical="center" wrapText="1"/>
    </xf>
    <xf numFmtId="0" fontId="95" fillId="47" borderId="102" xfId="0" applyFont="1" applyFill="1" applyBorder="1" applyAlignment="1">
      <alignment horizontal="center" vertical="center" wrapText="1"/>
    </xf>
    <xf numFmtId="0" fontId="95" fillId="51" borderId="114" xfId="0" applyFont="1" applyFill="1" applyBorder="1" applyAlignment="1">
      <alignment horizontal="center" vertical="top" wrapText="1" readingOrder="1"/>
    </xf>
    <xf numFmtId="0" fontId="95" fillId="51" borderId="62" xfId="0" applyFont="1" applyFill="1" applyBorder="1" applyAlignment="1">
      <alignment horizontal="center" vertical="top" wrapText="1" readingOrder="1"/>
    </xf>
    <xf numFmtId="0" fontId="95" fillId="51" borderId="113" xfId="0" applyFont="1" applyFill="1" applyBorder="1" applyAlignment="1">
      <alignment horizontal="center" vertical="top" wrapText="1" readingOrder="1"/>
    </xf>
    <xf numFmtId="0" fontId="105" fillId="0" borderId="119" xfId="0" applyFont="1" applyBorder="1" applyAlignment="1">
      <alignment horizontal="center" vertical="top" wrapText="1" readingOrder="1"/>
    </xf>
    <xf numFmtId="0" fontId="105" fillId="0" borderId="110" xfId="0" applyFont="1" applyBorder="1" applyAlignment="1">
      <alignment horizontal="center" vertical="top" wrapText="1" readingOrder="1"/>
    </xf>
    <xf numFmtId="0" fontId="95" fillId="0" borderId="115" xfId="0" applyFont="1" applyBorder="1" applyAlignment="1">
      <alignment horizontal="center" vertical="top" wrapText="1" readingOrder="1"/>
    </xf>
    <xf numFmtId="0" fontId="95" fillId="0" borderId="116" xfId="0" applyFont="1" applyBorder="1" applyAlignment="1">
      <alignment horizontal="center" vertical="top" wrapText="1" readingOrder="1"/>
    </xf>
    <xf numFmtId="0" fontId="104" fillId="48" borderId="1" xfId="297" applyFont="1" applyFill="1" applyBorder="1" applyAlignment="1" applyProtection="1">
      <alignment horizontal="center" vertical="center"/>
      <protection locked="0"/>
    </xf>
    <xf numFmtId="0" fontId="105" fillId="51" borderId="115" xfId="0" applyFont="1" applyFill="1" applyBorder="1" applyAlignment="1">
      <alignment horizontal="center" vertical="top" wrapText="1" readingOrder="1"/>
    </xf>
    <xf numFmtId="0" fontId="105" fillId="51" borderId="116" xfId="0" applyFont="1" applyFill="1" applyBorder="1" applyAlignment="1">
      <alignment horizontal="center" vertical="top" wrapText="1" readingOrder="1"/>
    </xf>
    <xf numFmtId="0" fontId="105" fillId="51" borderId="101" xfId="0" applyFont="1" applyFill="1" applyBorder="1" applyAlignment="1">
      <alignment horizontal="center" vertical="top" wrapText="1" readingOrder="1"/>
    </xf>
    <xf numFmtId="0" fontId="113" fillId="47" borderId="64" xfId="0" applyFont="1" applyFill="1" applyBorder="1" applyAlignment="1">
      <alignment horizontal="center" vertical="center" wrapText="1"/>
    </xf>
    <xf numFmtId="0" fontId="113" fillId="47" borderId="117" xfId="0" applyFont="1" applyFill="1" applyBorder="1" applyAlignment="1">
      <alignment horizontal="center" vertical="center" wrapText="1"/>
    </xf>
    <xf numFmtId="0" fontId="113" fillId="47" borderId="102" xfId="0" applyFont="1" applyFill="1" applyBorder="1" applyAlignment="1">
      <alignment horizontal="center" vertical="center" wrapText="1"/>
    </xf>
    <xf numFmtId="0" fontId="95" fillId="0" borderId="115" xfId="0" applyFont="1" applyBorder="1" applyAlignment="1">
      <alignment horizontal="center" vertical="center" wrapText="1" readingOrder="1"/>
    </xf>
    <xf numFmtId="0" fontId="95" fillId="0" borderId="116" xfId="0" applyFont="1" applyBorder="1" applyAlignment="1">
      <alignment horizontal="center" vertical="center" wrapText="1" readingOrder="1"/>
    </xf>
    <xf numFmtId="0" fontId="95" fillId="0" borderId="101" xfId="0" applyFont="1" applyBorder="1" applyAlignment="1">
      <alignment horizontal="center" vertical="center" wrapText="1" readingOrder="1"/>
    </xf>
    <xf numFmtId="0" fontId="95" fillId="0" borderId="114" xfId="0" applyFont="1" applyBorder="1" applyAlignment="1">
      <alignment horizontal="center" vertical="center" wrapText="1" readingOrder="1"/>
    </xf>
    <xf numFmtId="0" fontId="95" fillId="0" borderId="62" xfId="0" applyFont="1" applyBorder="1" applyAlignment="1">
      <alignment horizontal="center" vertical="center" wrapText="1" readingOrder="1"/>
    </xf>
    <xf numFmtId="0" fontId="95" fillId="0" borderId="63" xfId="0" applyFont="1" applyBorder="1" applyAlignment="1">
      <alignment horizontal="center" vertical="center" wrapText="1" readingOrder="1"/>
    </xf>
    <xf numFmtId="0" fontId="95" fillId="0" borderId="73" xfId="0" applyFont="1" applyBorder="1" applyAlignment="1">
      <alignment horizontal="center" vertical="center" wrapText="1" readingOrder="1"/>
    </xf>
    <xf numFmtId="0" fontId="95" fillId="0" borderId="68" xfId="0" applyFont="1" applyBorder="1" applyAlignment="1">
      <alignment horizontal="center" vertical="center" wrapText="1" readingOrder="1"/>
    </xf>
    <xf numFmtId="0" fontId="95" fillId="0" borderId="69" xfId="0" applyFont="1" applyBorder="1" applyAlignment="1">
      <alignment horizontal="center" vertical="center" wrapText="1" readingOrder="1"/>
    </xf>
    <xf numFmtId="0" fontId="113" fillId="47" borderId="64" xfId="0" applyFont="1" applyFill="1" applyBorder="1" applyAlignment="1">
      <alignment horizontal="center" vertical="center" wrapText="1" readingOrder="1"/>
    </xf>
    <xf numFmtId="0" fontId="113" fillId="47" borderId="117" xfId="0" applyFont="1" applyFill="1" applyBorder="1" applyAlignment="1">
      <alignment horizontal="center" vertical="center" wrapText="1" readingOrder="1"/>
    </xf>
    <xf numFmtId="0" fontId="99" fillId="48" borderId="6" xfId="296" applyFont="1" applyFill="1" applyBorder="1" applyAlignment="1">
      <alignment horizontal="center" vertical="center"/>
    </xf>
    <xf numFmtId="0" fontId="95" fillId="0" borderId="113" xfId="0" applyFont="1" applyBorder="1" applyAlignment="1">
      <alignment horizontal="center" vertical="center" wrapText="1" readingOrder="1"/>
    </xf>
    <xf numFmtId="0" fontId="95" fillId="51" borderId="115" xfId="0" applyFont="1" applyFill="1" applyBorder="1" applyAlignment="1">
      <alignment horizontal="center" vertical="center" wrapText="1" readingOrder="1"/>
    </xf>
    <xf numFmtId="0" fontId="95" fillId="51" borderId="116" xfId="0" applyFont="1" applyFill="1" applyBorder="1" applyAlignment="1">
      <alignment horizontal="center" vertical="center" wrapText="1" readingOrder="1"/>
    </xf>
    <xf numFmtId="0" fontId="95" fillId="51" borderId="101" xfId="0" applyFont="1" applyFill="1" applyBorder="1" applyAlignment="1">
      <alignment horizontal="center" vertical="center" wrapText="1" readingOrder="1"/>
    </xf>
    <xf numFmtId="0" fontId="95" fillId="51" borderId="114" xfId="0" applyFont="1" applyFill="1" applyBorder="1" applyAlignment="1">
      <alignment horizontal="center" vertical="center" wrapText="1" readingOrder="1"/>
    </xf>
    <xf numFmtId="0" fontId="95" fillId="51" borderId="62" xfId="0" applyFont="1" applyFill="1" applyBorder="1" applyAlignment="1">
      <alignment horizontal="center" vertical="center" wrapText="1" readingOrder="1"/>
    </xf>
    <xf numFmtId="0" fontId="95" fillId="51" borderId="113" xfId="0" applyFont="1" applyFill="1" applyBorder="1" applyAlignment="1">
      <alignment horizontal="center" vertical="center" wrapText="1" readingOrder="1"/>
    </xf>
    <xf numFmtId="0" fontId="7" fillId="48" borderId="1" xfId="0" applyFont="1" applyFill="1" applyBorder="1" applyAlignment="1">
      <alignment horizontal="center" vertical="center"/>
    </xf>
  </cellXfs>
  <cellStyles count="434">
    <cellStyle name="_x0012_" xfId="7" xr:uid="{00000000-0005-0000-0000-000000000000}"/>
    <cellStyle name=" " xfId="8" xr:uid="{00000000-0005-0000-0000-000001000000}"/>
    <cellStyle name="_x0014_&quot;_x0003__x0003__x000c_?_x0008__x0014_4_x0001_" xfId="9" xr:uid="{00000000-0005-0000-0000-000002000000}"/>
    <cellStyle name="%" xfId="10" xr:uid="{00000000-0005-0000-0000-000003000000}"/>
    <cellStyle name="_0.Sample_PJT별_DPMS개발진척현황_05.MDM(20080326)" xfId="11" xr:uid="{00000000-0005-0000-0000-000004000000}"/>
    <cellStyle name="_080714_ERP_지연목록_CatchUp요약 v1.1" xfId="12" xr:uid="{00000000-0005-0000-0000-000005000000}"/>
    <cellStyle name="_20080214_개인관리_총집합" xfId="13" xr:uid="{00000000-0005-0000-0000-000006000000}"/>
    <cellStyle name="_21c판매물량" xfId="14" xr:uid="{00000000-0005-0000-0000-000007000000}"/>
    <cellStyle name="_BHJ_NextCSBS-ICM-DE-12(프로그램목록(콜체계)-V.3.0)" xfId="15" xr:uid="{00000000-0005-0000-0000-000008000000}"/>
    <cellStyle name="_Book1" xfId="16" xr:uid="{00000000-0005-0000-0000-000009000000}"/>
    <cellStyle name="_CSSI-업무코드-DE-09(단위테스트케이스_프로그램사양서프로그램ID_명_테스터명)-d0.2" xfId="17" xr:uid="{00000000-0005-0000-0000-00000A000000}"/>
    <cellStyle name="_CSSI-업무코드-DE-09(별첨.결함관리대장_팀_파트_테스터명)_d0.1" xfId="18" xr:uid="{00000000-0005-0000-0000-00000B000000}"/>
    <cellStyle name="_ERP_개발인원투입공수상세_0904_전체" xfId="19" xr:uid="{00000000-0005-0000-0000-00000C000000}"/>
    <cellStyle name="_ERP_인원투입계획_v1.5.0 (070904)" xfId="20" xr:uid="{00000000-0005-0000-0000-00000D000000}"/>
    <cellStyle name="_GMES_통합 재배치v1.0" xfId="21" xr:uid="{00000000-0005-0000-0000-00000E000000}"/>
    <cellStyle name="_MES_PMO-110-01(주간보고-20080123)" xfId="22" xr:uid="{00000000-0005-0000-0000-00000F000000}"/>
    <cellStyle name="_MES-261-02(엑셀표준서식-세로,목차미포함-Ver1.0)" xfId="23" xr:uid="{00000000-0005-0000-0000-000010000000}"/>
    <cellStyle name="_P6 물류 시스템 인원투입계획V1.81" xfId="24" xr:uid="{00000000-0005-0000-0000-000011000000}"/>
    <cellStyle name="_P6-ECS 견적v4.0(31종142대-LGIBM)" xfId="25" xr:uid="{00000000-0005-0000-0000-000012000000}"/>
    <cellStyle name="_P7_물류시스템_인원투입계획V1.3_외주지원팀_제출용" xfId="26" xr:uid="{00000000-0005-0000-0000-000013000000}"/>
    <cellStyle name="_P7ECS_견적_통합_V5.5" xfId="27" xr:uid="{00000000-0005-0000-0000-000014000000}"/>
    <cellStyle name="_PJT별_DPMS개발진척현황_00.전체(20080610)_V2.2" xfId="28" xr:uid="{00000000-0005-0000-0000-000015000000}"/>
    <cellStyle name="_PJT별_DPMS개발진척현황_05.MDM(20080319)_진척현황그래프" xfId="29" xr:uid="{00000000-0005-0000-0000-000016000000}"/>
    <cellStyle name="_PJT별_TD_결함분석_01.ERP(20080708)-V0.1" xfId="30" xr:uid="{00000000-0005-0000-0000-000017000000}"/>
    <cellStyle name="_PJT별_단위결함관리대장_취합_04.ERP(20080604)" xfId="31" xr:uid="{00000000-0005-0000-0000-000018000000}"/>
    <cellStyle name="_PJT별_단위결함관리대장_취합_04.ERP(20080623)_업로드완료" xfId="32" xr:uid="{00000000-0005-0000-0000-000019000000}"/>
    <cellStyle name="_PJT별_단위결함관리대장_취합_04.ERP(20080818)" xfId="33" xr:uid="{00000000-0005-0000-0000-00001A000000}"/>
    <cellStyle name="_PJT별_프로젝트현황_01.MES_MDW_EMS_v1.1(20080220)" xfId="34" xr:uid="{00000000-0005-0000-0000-00001B000000}"/>
    <cellStyle name="_PMO_전사프로젝트현황_02.이슈집계Too_v0.1" xfId="35" xr:uid="{00000000-0005-0000-0000-00001C000000}"/>
    <cellStyle name="_PMO_전사프로젝트현황_04.산출물관리Tool_v0.1" xfId="36" xr:uid="{00000000-0005-0000-0000-00001D000000}"/>
    <cellStyle name="_PMO_전사프로젝트현황_05.ContactPoint_v0.1" xfId="37" xr:uid="{00000000-0005-0000-0000-00001E000000}"/>
    <cellStyle name="_PMO_전사프로젝트현황_06.월별회의현황_v0.1" xfId="38" xr:uid="{00000000-0005-0000-0000-00001F000000}"/>
    <cellStyle name="_PMO_전사프로젝트현황_06.의사소통현황_v0.1" xfId="39" xr:uid="{00000000-0005-0000-0000-000020000000}"/>
    <cellStyle name="_PMO-110-01(주간보고-20080304)" xfId="40" xr:uid="{00000000-0005-0000-0000-000021000000}"/>
    <cellStyle name="_PMO-110-01(프로젝트 주간보고-20071122)" xfId="41" xr:uid="{00000000-0005-0000-0000-000022000000}"/>
    <cellStyle name="_PMO-110-03(이슈현황판-20071029)" xfId="42" xr:uid="{00000000-0005-0000-0000-000023000000}"/>
    <cellStyle name="_PMO-110-03(이슈현황판-20071122)" xfId="43" xr:uid="{00000000-0005-0000-0000-000024000000}"/>
    <cellStyle name="_Test지원_프로그램목록_20080814" xfId="44" xr:uid="{00000000-0005-0000-0000-000025000000}"/>
    <cellStyle name="_개발 테스트 진척 현황" xfId="45" xr:uid="{00000000-0005-0000-0000-000026000000}"/>
    <cellStyle name="_공장별매출" xfId="46" xr:uid="{00000000-0005-0000-0000-000027000000}"/>
    <cellStyle name="_그래프_전체_DPMS개발진척현황_20080708_V2.5_BL" xfId="47" xr:uid="{00000000-0005-0000-0000-000028000000}"/>
    <cellStyle name="_내용" xfId="48" xr:uid="{00000000-0005-0000-0000-000029000000}"/>
    <cellStyle name="_변현주C_20080103_자료모음01" xfId="49" xr:uid="{00000000-0005-0000-0000-00002A000000}"/>
    <cellStyle name="_변현주C_20080103_자료모음02" xfId="50" xr:uid="{00000000-0005-0000-0000-00002B000000}"/>
    <cellStyle name="_변현주C_20080118_주간업무보고이력" xfId="51" xr:uid="{00000000-0005-0000-0000-00002C000000}"/>
    <cellStyle name="_업무혁신담당_2008_투자계획_내부용_070912" xfId="52" xr:uid="{00000000-0005-0000-0000-00002D000000}"/>
    <cellStyle name="_전사_프로젝트현황_이슈집계Tool_v0.1" xfId="53" xr:uid="{00000000-0005-0000-0000-00002E000000}"/>
    <cellStyle name="_제3자Test_단위결함관리대장_20080625" xfId="54" xr:uid="{00000000-0005-0000-0000-00002F000000}"/>
    <cellStyle name="_프로젝트 PMO활동 리스트_20071227_수정" xfId="55" xr:uid="{00000000-0005-0000-0000-000030000000}"/>
    <cellStyle name="_하드웨어견적문의(ATEC)_Total_ver1.1_20041203" xfId="56" xr:uid="{00000000-0005-0000-0000-000031000000}"/>
    <cellStyle name="0,0_x000d__x000a_NA_x000d__x000a_" xfId="57" xr:uid="{00000000-0005-0000-0000-000032000000}"/>
    <cellStyle name="20% - 강조색1 2" xfId="58" xr:uid="{00000000-0005-0000-0000-000033000000}"/>
    <cellStyle name="20% - 강조색2 2" xfId="59" xr:uid="{00000000-0005-0000-0000-000034000000}"/>
    <cellStyle name="20% - 강조색3 2" xfId="60" xr:uid="{00000000-0005-0000-0000-000035000000}"/>
    <cellStyle name="20% - 강조색4 2" xfId="61" xr:uid="{00000000-0005-0000-0000-000036000000}"/>
    <cellStyle name="20% - 강조색5 2" xfId="62" xr:uid="{00000000-0005-0000-0000-000037000000}"/>
    <cellStyle name="20% - 강조색6 2" xfId="63" xr:uid="{00000000-0005-0000-0000-000038000000}"/>
    <cellStyle name="40% - 강조색1 2" xfId="64" xr:uid="{00000000-0005-0000-0000-000039000000}"/>
    <cellStyle name="40% - 강조색2 2" xfId="65" xr:uid="{00000000-0005-0000-0000-00003A000000}"/>
    <cellStyle name="40% - 강조색3 2" xfId="66" xr:uid="{00000000-0005-0000-0000-00003B000000}"/>
    <cellStyle name="40% - 강조색4 2" xfId="67" xr:uid="{00000000-0005-0000-0000-00003C000000}"/>
    <cellStyle name="40% - 강조색5 2" xfId="68" xr:uid="{00000000-0005-0000-0000-00003D000000}"/>
    <cellStyle name="40% - 강조색6 2" xfId="69" xr:uid="{00000000-0005-0000-0000-00003E000000}"/>
    <cellStyle name="60% - 강조색1 2" xfId="70" xr:uid="{00000000-0005-0000-0000-00003F000000}"/>
    <cellStyle name="60% - 강조색2 2" xfId="71" xr:uid="{00000000-0005-0000-0000-000040000000}"/>
    <cellStyle name="60% - 강조색3 2" xfId="72" xr:uid="{00000000-0005-0000-0000-000041000000}"/>
    <cellStyle name="60% - 강조색4 2" xfId="73" xr:uid="{00000000-0005-0000-0000-000042000000}"/>
    <cellStyle name="60% - 강조색5 2" xfId="74" xr:uid="{00000000-0005-0000-0000-000043000000}"/>
    <cellStyle name="60% - 강조색6 2" xfId="75" xr:uid="{00000000-0005-0000-0000-000044000000}"/>
    <cellStyle name="A¨­￠￢￠O [0]_SP ⓒo¡Æ￥i￠?ⓒo¡¿ ￠?UAO " xfId="76" xr:uid="{00000000-0005-0000-0000-000045000000}"/>
    <cellStyle name="A¨­￠￢￠O_SP ⓒo¡Æ￥i￠?ⓒo¡¿ ￠?UAO " xfId="77" xr:uid="{00000000-0005-0000-0000-000046000000}"/>
    <cellStyle name="Accent1" xfId="78" xr:uid="{00000000-0005-0000-0000-000047000000}"/>
    <cellStyle name="Accent1 - 20%" xfId="79" xr:uid="{00000000-0005-0000-0000-000048000000}"/>
    <cellStyle name="Accent1 - 40%" xfId="80" xr:uid="{00000000-0005-0000-0000-000049000000}"/>
    <cellStyle name="Accent1 - 60%" xfId="81" xr:uid="{00000000-0005-0000-0000-00004A000000}"/>
    <cellStyle name="Accent2" xfId="82" xr:uid="{00000000-0005-0000-0000-00004B000000}"/>
    <cellStyle name="Accent2 - 20%" xfId="83" xr:uid="{00000000-0005-0000-0000-00004C000000}"/>
    <cellStyle name="Accent2 - 40%" xfId="84" xr:uid="{00000000-0005-0000-0000-00004D000000}"/>
    <cellStyle name="Accent2 - 60%" xfId="85" xr:uid="{00000000-0005-0000-0000-00004E000000}"/>
    <cellStyle name="Accent3" xfId="86" xr:uid="{00000000-0005-0000-0000-00004F000000}"/>
    <cellStyle name="Accent3 - 20%" xfId="87" xr:uid="{00000000-0005-0000-0000-000050000000}"/>
    <cellStyle name="Accent3 - 40%" xfId="88" xr:uid="{00000000-0005-0000-0000-000051000000}"/>
    <cellStyle name="Accent3 - 60%" xfId="89" xr:uid="{00000000-0005-0000-0000-000052000000}"/>
    <cellStyle name="Accent4" xfId="90" xr:uid="{00000000-0005-0000-0000-000053000000}"/>
    <cellStyle name="Accent4 - 20%" xfId="91" xr:uid="{00000000-0005-0000-0000-000054000000}"/>
    <cellStyle name="Accent4 - 40%" xfId="92" xr:uid="{00000000-0005-0000-0000-000055000000}"/>
    <cellStyle name="Accent4 - 60%" xfId="93" xr:uid="{00000000-0005-0000-0000-000056000000}"/>
    <cellStyle name="Accent5" xfId="94" xr:uid="{00000000-0005-0000-0000-000057000000}"/>
    <cellStyle name="Accent5 - 20%" xfId="95" xr:uid="{00000000-0005-0000-0000-000058000000}"/>
    <cellStyle name="Accent5 - 40%" xfId="96" xr:uid="{00000000-0005-0000-0000-000059000000}"/>
    <cellStyle name="Accent5 - 60%" xfId="97" xr:uid="{00000000-0005-0000-0000-00005A000000}"/>
    <cellStyle name="Accent6" xfId="98" xr:uid="{00000000-0005-0000-0000-00005B000000}"/>
    <cellStyle name="Accent6 - 20%" xfId="99" xr:uid="{00000000-0005-0000-0000-00005C000000}"/>
    <cellStyle name="Accent6 - 40%" xfId="100" xr:uid="{00000000-0005-0000-0000-00005D000000}"/>
    <cellStyle name="Accent6 - 60%" xfId="101" xr:uid="{00000000-0005-0000-0000-00005E000000}"/>
    <cellStyle name="AeE­ [0]_¸AAa(¿ø) " xfId="102" xr:uid="{00000000-0005-0000-0000-00005F000000}"/>
    <cellStyle name="AeE­_¸AAa(¿ø) " xfId="103" xr:uid="{00000000-0005-0000-0000-000060000000}"/>
    <cellStyle name="AeE¡ⓒ [0]_SP ⓒo¡Æ￥i￠?ⓒo¡¿ ￠?UAO " xfId="104" xr:uid="{00000000-0005-0000-0000-000061000000}"/>
    <cellStyle name="AeE¡ⓒ_SP ⓒo¡Æ￥i￠?ⓒo¡¿ ￠?UAO " xfId="105" xr:uid="{00000000-0005-0000-0000-000062000000}"/>
    <cellStyle name="ALIGNMENT" xfId="106" xr:uid="{00000000-0005-0000-0000-000063000000}"/>
    <cellStyle name="AÞ¸¶ [0]_¸AAa(¿ø) " xfId="107" xr:uid="{00000000-0005-0000-0000-000064000000}"/>
    <cellStyle name="AÞ¸¶_¸AAa(¿ø) " xfId="108" xr:uid="{00000000-0005-0000-0000-000065000000}"/>
    <cellStyle name="Bad" xfId="109" xr:uid="{00000000-0005-0000-0000-000066000000}"/>
    <cellStyle name="C¡IA¨ª_¨uOAIA¡AAI ￠?ⓒªAI " xfId="110" xr:uid="{00000000-0005-0000-0000-000067000000}"/>
    <cellStyle name="C￥AØ_  FAB AIA¤  " xfId="111" xr:uid="{00000000-0005-0000-0000-000068000000}"/>
    <cellStyle name="Calculation" xfId="112" xr:uid="{00000000-0005-0000-0000-000069000000}"/>
    <cellStyle name="category" xfId="113" xr:uid="{00000000-0005-0000-0000-00006A000000}"/>
    <cellStyle name="Check Cell" xfId="114" xr:uid="{00000000-0005-0000-0000-00006B000000}"/>
    <cellStyle name="Column Heading" xfId="115" xr:uid="{00000000-0005-0000-0000-00006C000000}"/>
    <cellStyle name="Comma" xfId="116" xr:uid="{00000000-0005-0000-0000-00006D000000}"/>
    <cellStyle name="Comma [0]_laroux" xfId="117" xr:uid="{00000000-0005-0000-0000-00006E000000}"/>
    <cellStyle name="comma zerodec" xfId="118" xr:uid="{00000000-0005-0000-0000-00006F000000}"/>
    <cellStyle name="Comma_laroux" xfId="119" xr:uid="{00000000-0005-0000-0000-000070000000}"/>
    <cellStyle name="Currency" xfId="120" xr:uid="{00000000-0005-0000-0000-000071000000}"/>
    <cellStyle name="Currency [0]_laroux" xfId="121" xr:uid="{00000000-0005-0000-0000-000072000000}"/>
    <cellStyle name="Currency_laroux" xfId="122" xr:uid="{00000000-0005-0000-0000-000073000000}"/>
    <cellStyle name="Currency1" xfId="123" xr:uid="{00000000-0005-0000-0000-000074000000}"/>
    <cellStyle name="Dollar (zero dec)" xfId="124" xr:uid="{00000000-0005-0000-0000-000075000000}"/>
    <cellStyle name="Emphasis 1" xfId="125" xr:uid="{00000000-0005-0000-0000-000076000000}"/>
    <cellStyle name="Emphasis 2" xfId="126" xr:uid="{00000000-0005-0000-0000-000077000000}"/>
    <cellStyle name="Emphasis 3" xfId="127" xr:uid="{00000000-0005-0000-0000-000078000000}"/>
    <cellStyle name="Good" xfId="128" xr:uid="{00000000-0005-0000-0000-000079000000}"/>
    <cellStyle name="Grey" xfId="129" xr:uid="{00000000-0005-0000-0000-00007A000000}"/>
    <cellStyle name="HEADER" xfId="130" xr:uid="{00000000-0005-0000-0000-00007B000000}"/>
    <cellStyle name="Header1" xfId="131" xr:uid="{00000000-0005-0000-0000-00007C000000}"/>
    <cellStyle name="Header2" xfId="132" xr:uid="{00000000-0005-0000-0000-00007D000000}"/>
    <cellStyle name="Heading 1" xfId="133" xr:uid="{00000000-0005-0000-0000-00007E000000}"/>
    <cellStyle name="Heading 2" xfId="134" xr:uid="{00000000-0005-0000-0000-00007F000000}"/>
    <cellStyle name="Heading 3" xfId="135" xr:uid="{00000000-0005-0000-0000-000080000000}"/>
    <cellStyle name="Heading 4" xfId="136" xr:uid="{00000000-0005-0000-0000-000081000000}"/>
    <cellStyle name="Hyperlink_NEGS" xfId="137" xr:uid="{00000000-0005-0000-0000-000082000000}"/>
    <cellStyle name="Input" xfId="138" xr:uid="{00000000-0005-0000-0000-000083000000}"/>
    <cellStyle name="Input [yellow]" xfId="139" xr:uid="{00000000-0005-0000-0000-000084000000}"/>
    <cellStyle name="Linked Cell" xfId="140" xr:uid="{00000000-0005-0000-0000-000085000000}"/>
    <cellStyle name="Model" xfId="141" xr:uid="{00000000-0005-0000-0000-000086000000}"/>
    <cellStyle name="Neutral" xfId="142" xr:uid="{00000000-0005-0000-0000-000087000000}"/>
    <cellStyle name="no dec" xfId="143" xr:uid="{00000000-0005-0000-0000-000088000000}"/>
    <cellStyle name="Normal - Style1" xfId="144" xr:uid="{00000000-0005-0000-0000-000089000000}"/>
    <cellStyle name="Normal_#26-PSS Rev and Drivers " xfId="145" xr:uid="{00000000-0005-0000-0000-00008A000000}"/>
    <cellStyle name="Note" xfId="146" xr:uid="{00000000-0005-0000-0000-00008B000000}"/>
    <cellStyle name="_x000f_O" xfId="147" xr:uid="{00000000-0005-0000-0000-00008C000000}"/>
    <cellStyle name="Output" xfId="148" xr:uid="{00000000-0005-0000-0000-00008D000000}"/>
    <cellStyle name="Percent" xfId="149" xr:uid="{00000000-0005-0000-0000-00008E000000}"/>
    <cellStyle name="Percent [2]" xfId="150" xr:uid="{00000000-0005-0000-0000-00008F000000}"/>
    <cellStyle name="SAPBEXstdData" xfId="151" xr:uid="{00000000-0005-0000-0000-000090000000}"/>
    <cellStyle name="Sheet Title" xfId="152" xr:uid="{00000000-0005-0000-0000-000091000000}"/>
    <cellStyle name="subhead" xfId="153" xr:uid="{00000000-0005-0000-0000-000092000000}"/>
    <cellStyle name="Total" xfId="154" xr:uid="{00000000-0005-0000-0000-000093000000}"/>
    <cellStyle name="Warning Text" xfId="155" xr:uid="{00000000-0005-0000-0000-000094000000}"/>
    <cellStyle name="yyyyyyyyyyyyyyy" xfId="156" xr:uid="{00000000-0005-0000-0000-000095000000}"/>
    <cellStyle name="yyyyyyyyyyyyyyyyyyyyyyyyyyy" xfId="157" xr:uid="{00000000-0005-0000-0000-000096000000}"/>
    <cellStyle name="" xfId="158" xr:uid="{00000000-0005-0000-0000-000097000000}"/>
    <cellStyle name="" xfId="159" xr:uid="{00000000-0005-0000-0000-000098000000}"/>
    <cellStyle name="강조색1 2" xfId="160" xr:uid="{00000000-0005-0000-0000-000099000000}"/>
    <cellStyle name="강조색2 2" xfId="161" xr:uid="{00000000-0005-0000-0000-00009A000000}"/>
    <cellStyle name="강조색3 2" xfId="162" xr:uid="{00000000-0005-0000-0000-00009B000000}"/>
    <cellStyle name="강조색4 2" xfId="163" xr:uid="{00000000-0005-0000-0000-00009C000000}"/>
    <cellStyle name="강조색5 2" xfId="164" xr:uid="{00000000-0005-0000-0000-00009D000000}"/>
    <cellStyle name="강조색6 2" xfId="165" xr:uid="{00000000-0005-0000-0000-00009E000000}"/>
    <cellStyle name="경고문 2" xfId="166" xr:uid="{00000000-0005-0000-0000-00009F000000}"/>
    <cellStyle name="계산 2" xfId="167" xr:uid="{00000000-0005-0000-0000-0000A0000000}"/>
    <cellStyle name="适中" xfId="168" xr:uid="{00000000-0005-0000-0000-0000A1000000}"/>
    <cellStyle name="나쁨 2" xfId="169" xr:uid="{00000000-0005-0000-0000-0000A2000000}"/>
    <cellStyle name="㼿㼿㼿㼿㼿㼿㼿" xfId="170" xr:uid="{00000000-0005-0000-0000-0000A3000000}"/>
    <cellStyle name="㼿㼿㼿㼿㼿㼿㼿㼿?" xfId="171" xr:uid="{00000000-0005-0000-0000-0000A4000000}"/>
    <cellStyle name="㼿㼿㼿㼿㼿㼿㼿㼿㼿㼿" xfId="305" xr:uid="{00000000-0005-0000-0000-0000A5000000}"/>
    <cellStyle name="뒤에 오는 하이퍼링크" xfId="172" xr:uid="{00000000-0005-0000-0000-0000A6000000}"/>
    <cellStyle name="메모 2" xfId="173" xr:uid="{00000000-0005-0000-0000-0000A7000000}"/>
    <cellStyle name="백분율 2" xfId="174" xr:uid="{00000000-0005-0000-0000-0000A8000000}"/>
    <cellStyle name="백분율 3" xfId="175" xr:uid="{00000000-0005-0000-0000-0000A9000000}"/>
    <cellStyle name="백분율 4" xfId="176" xr:uid="{00000000-0005-0000-0000-0000AA000000}"/>
    <cellStyle name="백분율 4 2" xfId="177" xr:uid="{00000000-0005-0000-0000-0000AB000000}"/>
    <cellStyle name="백분율 6" xfId="178" xr:uid="{00000000-0005-0000-0000-0000AC000000}"/>
    <cellStyle name="백분율 6 2" xfId="179" xr:uid="{00000000-0005-0000-0000-0000AD000000}"/>
    <cellStyle name="보통 2" xfId="180" xr:uid="{00000000-0005-0000-0000-0000AE000000}"/>
    <cellStyle name="설명 텍스트 2" xfId="181" xr:uid="{00000000-0005-0000-0000-0000AF000000}"/>
    <cellStyle name="셀 확인 2" xfId="182" xr:uid="{00000000-0005-0000-0000-0000B0000000}"/>
    <cellStyle name="쉼표 [0] 10" xfId="183" xr:uid="{00000000-0005-0000-0000-0000B1000000}"/>
    <cellStyle name="쉼표 [0] 10 2" xfId="184" xr:uid="{00000000-0005-0000-0000-0000B2000000}"/>
    <cellStyle name="쉼표 [0] 10 2 2" xfId="312" xr:uid="{00000000-0005-0000-0000-0000B3000000}"/>
    <cellStyle name="쉼표 [0] 10 2 2 2" xfId="392" xr:uid="{00000000-0005-0000-0000-0000B4000000}"/>
    <cellStyle name="쉼표 [0] 10 2 3" xfId="352" xr:uid="{00000000-0005-0000-0000-0000B5000000}"/>
    <cellStyle name="쉼표 [0] 10 3" xfId="311" xr:uid="{00000000-0005-0000-0000-0000B6000000}"/>
    <cellStyle name="쉼표 [0] 10 3 2" xfId="391" xr:uid="{00000000-0005-0000-0000-0000B7000000}"/>
    <cellStyle name="쉼표 [0] 10 4" xfId="351" xr:uid="{00000000-0005-0000-0000-0000B8000000}"/>
    <cellStyle name="쉼표 [0] 11" xfId="185" xr:uid="{00000000-0005-0000-0000-0000B9000000}"/>
    <cellStyle name="쉼표 [0] 11 2" xfId="186" xr:uid="{00000000-0005-0000-0000-0000BA000000}"/>
    <cellStyle name="쉼표 [0] 11 2 2" xfId="314" xr:uid="{00000000-0005-0000-0000-0000BB000000}"/>
    <cellStyle name="쉼표 [0] 11 2 2 2" xfId="394" xr:uid="{00000000-0005-0000-0000-0000BC000000}"/>
    <cellStyle name="쉼표 [0] 11 2 3" xfId="354" xr:uid="{00000000-0005-0000-0000-0000BD000000}"/>
    <cellStyle name="쉼표 [0] 11 3" xfId="313" xr:uid="{00000000-0005-0000-0000-0000BE000000}"/>
    <cellStyle name="쉼표 [0] 11 3 2" xfId="393" xr:uid="{00000000-0005-0000-0000-0000BF000000}"/>
    <cellStyle name="쉼표 [0] 11 4" xfId="353" xr:uid="{00000000-0005-0000-0000-0000C0000000}"/>
    <cellStyle name="쉼표 [0] 12" xfId="187" xr:uid="{00000000-0005-0000-0000-0000C1000000}"/>
    <cellStyle name="쉼표 [0] 12 2" xfId="188" xr:uid="{00000000-0005-0000-0000-0000C2000000}"/>
    <cellStyle name="쉼표 [0] 12 2 2" xfId="316" xr:uid="{00000000-0005-0000-0000-0000C3000000}"/>
    <cellStyle name="쉼표 [0] 12 2 2 2" xfId="396" xr:uid="{00000000-0005-0000-0000-0000C4000000}"/>
    <cellStyle name="쉼표 [0] 12 2 3" xfId="356" xr:uid="{00000000-0005-0000-0000-0000C5000000}"/>
    <cellStyle name="쉼표 [0] 12 3" xfId="315" xr:uid="{00000000-0005-0000-0000-0000C6000000}"/>
    <cellStyle name="쉼표 [0] 12 3 2" xfId="395" xr:uid="{00000000-0005-0000-0000-0000C7000000}"/>
    <cellStyle name="쉼표 [0] 12 4" xfId="355" xr:uid="{00000000-0005-0000-0000-0000C8000000}"/>
    <cellStyle name="쉼표 [0] 13" xfId="189" xr:uid="{00000000-0005-0000-0000-0000C9000000}"/>
    <cellStyle name="쉼표 [0] 13 2" xfId="190" xr:uid="{00000000-0005-0000-0000-0000CA000000}"/>
    <cellStyle name="쉼표 [0] 13 2 2" xfId="318" xr:uid="{00000000-0005-0000-0000-0000CB000000}"/>
    <cellStyle name="쉼표 [0] 13 2 2 2" xfId="398" xr:uid="{00000000-0005-0000-0000-0000CC000000}"/>
    <cellStyle name="쉼표 [0] 13 2 3" xfId="358" xr:uid="{00000000-0005-0000-0000-0000CD000000}"/>
    <cellStyle name="쉼표 [0] 13 3" xfId="317" xr:uid="{00000000-0005-0000-0000-0000CE000000}"/>
    <cellStyle name="쉼표 [0] 13 3 2" xfId="397" xr:uid="{00000000-0005-0000-0000-0000CF000000}"/>
    <cellStyle name="쉼표 [0] 13 4" xfId="357" xr:uid="{00000000-0005-0000-0000-0000D0000000}"/>
    <cellStyle name="쉼표 [0] 14" xfId="191" xr:uid="{00000000-0005-0000-0000-0000D1000000}"/>
    <cellStyle name="쉼표 [0] 14 2" xfId="192" xr:uid="{00000000-0005-0000-0000-0000D2000000}"/>
    <cellStyle name="쉼표 [0] 14 2 2" xfId="320" xr:uid="{00000000-0005-0000-0000-0000D3000000}"/>
    <cellStyle name="쉼표 [0] 14 2 2 2" xfId="400" xr:uid="{00000000-0005-0000-0000-0000D4000000}"/>
    <cellStyle name="쉼표 [0] 14 2 3" xfId="360" xr:uid="{00000000-0005-0000-0000-0000D5000000}"/>
    <cellStyle name="쉼표 [0] 14 3" xfId="319" xr:uid="{00000000-0005-0000-0000-0000D6000000}"/>
    <cellStyle name="쉼표 [0] 14 3 2" xfId="399" xr:uid="{00000000-0005-0000-0000-0000D7000000}"/>
    <cellStyle name="쉼표 [0] 14 4" xfId="359" xr:uid="{00000000-0005-0000-0000-0000D8000000}"/>
    <cellStyle name="쉼표 [0] 15" xfId="193" xr:uid="{00000000-0005-0000-0000-0000D9000000}"/>
    <cellStyle name="쉼표 [0] 15 2" xfId="194" xr:uid="{00000000-0005-0000-0000-0000DA000000}"/>
    <cellStyle name="쉼표 [0] 15 2 2" xfId="322" xr:uid="{00000000-0005-0000-0000-0000DB000000}"/>
    <cellStyle name="쉼표 [0] 15 2 2 2" xfId="402" xr:uid="{00000000-0005-0000-0000-0000DC000000}"/>
    <cellStyle name="쉼표 [0] 15 2 3" xfId="362" xr:uid="{00000000-0005-0000-0000-0000DD000000}"/>
    <cellStyle name="쉼표 [0] 15 3" xfId="321" xr:uid="{00000000-0005-0000-0000-0000DE000000}"/>
    <cellStyle name="쉼표 [0] 15 3 2" xfId="401" xr:uid="{00000000-0005-0000-0000-0000DF000000}"/>
    <cellStyle name="쉼표 [0] 15 4" xfId="361" xr:uid="{00000000-0005-0000-0000-0000E0000000}"/>
    <cellStyle name="쉼표 [0] 16" xfId="195" xr:uid="{00000000-0005-0000-0000-0000E1000000}"/>
    <cellStyle name="쉼표 [0] 16 2" xfId="196" xr:uid="{00000000-0005-0000-0000-0000E2000000}"/>
    <cellStyle name="쉼표 [0] 16 2 2" xfId="324" xr:uid="{00000000-0005-0000-0000-0000E3000000}"/>
    <cellStyle name="쉼표 [0] 16 2 2 2" xfId="404" xr:uid="{00000000-0005-0000-0000-0000E4000000}"/>
    <cellStyle name="쉼표 [0] 16 2 3" xfId="364" xr:uid="{00000000-0005-0000-0000-0000E5000000}"/>
    <cellStyle name="쉼표 [0] 16 3" xfId="323" xr:uid="{00000000-0005-0000-0000-0000E6000000}"/>
    <cellStyle name="쉼표 [0] 16 3 2" xfId="403" xr:uid="{00000000-0005-0000-0000-0000E7000000}"/>
    <cellStyle name="쉼표 [0] 16 4" xfId="363" xr:uid="{00000000-0005-0000-0000-0000E8000000}"/>
    <cellStyle name="쉼표 [0] 17" xfId="197" xr:uid="{00000000-0005-0000-0000-0000E9000000}"/>
    <cellStyle name="쉼표 [0] 17 2" xfId="198" xr:uid="{00000000-0005-0000-0000-0000EA000000}"/>
    <cellStyle name="쉼표 [0] 17 2 2" xfId="326" xr:uid="{00000000-0005-0000-0000-0000EB000000}"/>
    <cellStyle name="쉼표 [0] 17 2 2 2" xfId="406" xr:uid="{00000000-0005-0000-0000-0000EC000000}"/>
    <cellStyle name="쉼표 [0] 17 2 3" xfId="366" xr:uid="{00000000-0005-0000-0000-0000ED000000}"/>
    <cellStyle name="쉼표 [0] 17 3" xfId="325" xr:uid="{00000000-0005-0000-0000-0000EE000000}"/>
    <cellStyle name="쉼표 [0] 17 3 2" xfId="405" xr:uid="{00000000-0005-0000-0000-0000EF000000}"/>
    <cellStyle name="쉼표 [0] 17 4" xfId="365" xr:uid="{00000000-0005-0000-0000-0000F0000000}"/>
    <cellStyle name="쉼표 [0] 19" xfId="199" xr:uid="{00000000-0005-0000-0000-0000F1000000}"/>
    <cellStyle name="쉼표 [0] 19 2" xfId="200" xr:uid="{00000000-0005-0000-0000-0000F2000000}"/>
    <cellStyle name="쉼표 [0] 19 2 2" xfId="328" xr:uid="{00000000-0005-0000-0000-0000F3000000}"/>
    <cellStyle name="쉼표 [0] 19 2 2 2" xfId="408" xr:uid="{00000000-0005-0000-0000-0000F4000000}"/>
    <cellStyle name="쉼표 [0] 19 2 3" xfId="368" xr:uid="{00000000-0005-0000-0000-0000F5000000}"/>
    <cellStyle name="쉼표 [0] 19 3" xfId="327" xr:uid="{00000000-0005-0000-0000-0000F6000000}"/>
    <cellStyle name="쉼표 [0] 19 3 2" xfId="407" xr:uid="{00000000-0005-0000-0000-0000F7000000}"/>
    <cellStyle name="쉼표 [0] 19 4" xfId="367" xr:uid="{00000000-0005-0000-0000-0000F8000000}"/>
    <cellStyle name="쉼표 [0] 2" xfId="201" xr:uid="{00000000-0005-0000-0000-0000F9000000}"/>
    <cellStyle name="쉼표 [0] 2 2" xfId="202" xr:uid="{00000000-0005-0000-0000-0000FA000000}"/>
    <cellStyle name="쉼표 [0] 2 2 2" xfId="203" xr:uid="{00000000-0005-0000-0000-0000FB000000}"/>
    <cellStyle name="쉼표 [0] 2 2 2 2" xfId="204" xr:uid="{00000000-0005-0000-0000-0000FC000000}"/>
    <cellStyle name="쉼표 [0] 2 2 2 2 2" xfId="332" xr:uid="{00000000-0005-0000-0000-0000FD000000}"/>
    <cellStyle name="쉼표 [0] 2 2 2 2 2 2" xfId="412" xr:uid="{00000000-0005-0000-0000-0000FE000000}"/>
    <cellStyle name="쉼표 [0] 2 2 2 2 3" xfId="372" xr:uid="{00000000-0005-0000-0000-0000FF000000}"/>
    <cellStyle name="쉼표 [0] 2 2 2 3" xfId="331" xr:uid="{00000000-0005-0000-0000-000000010000}"/>
    <cellStyle name="쉼표 [0] 2 2 2 3 2" xfId="411" xr:uid="{00000000-0005-0000-0000-000001010000}"/>
    <cellStyle name="쉼표 [0] 2 2 2 4" xfId="371" xr:uid="{00000000-0005-0000-0000-000002010000}"/>
    <cellStyle name="쉼표 [0] 2 2 3" xfId="205" xr:uid="{00000000-0005-0000-0000-000003010000}"/>
    <cellStyle name="쉼표 [0] 2 2 3 2" xfId="333" xr:uid="{00000000-0005-0000-0000-000004010000}"/>
    <cellStyle name="쉼표 [0] 2 2 3 2 2" xfId="413" xr:uid="{00000000-0005-0000-0000-000005010000}"/>
    <cellStyle name="쉼표 [0] 2 2 3 3" xfId="373" xr:uid="{00000000-0005-0000-0000-000006010000}"/>
    <cellStyle name="쉼표 [0] 2 2 4" xfId="330" xr:uid="{00000000-0005-0000-0000-000007010000}"/>
    <cellStyle name="쉼표 [0] 2 2 4 2" xfId="410" xr:uid="{00000000-0005-0000-0000-000008010000}"/>
    <cellStyle name="쉼표 [0] 2 2 5" xfId="370" xr:uid="{00000000-0005-0000-0000-000009010000}"/>
    <cellStyle name="쉼표 [0] 2 3" xfId="206" xr:uid="{00000000-0005-0000-0000-00000A010000}"/>
    <cellStyle name="쉼표 [0] 2 3 2" xfId="334" xr:uid="{00000000-0005-0000-0000-00000B010000}"/>
    <cellStyle name="쉼표 [0] 2 3 2 2" xfId="414" xr:uid="{00000000-0005-0000-0000-00000C010000}"/>
    <cellStyle name="쉼표 [0] 2 3 3" xfId="374" xr:uid="{00000000-0005-0000-0000-00000D010000}"/>
    <cellStyle name="쉼표 [0] 2 4" xfId="329" xr:uid="{00000000-0005-0000-0000-00000E010000}"/>
    <cellStyle name="쉼표 [0] 2 4 2" xfId="409" xr:uid="{00000000-0005-0000-0000-00000F010000}"/>
    <cellStyle name="쉼표 [0] 2 5" xfId="369" xr:uid="{00000000-0005-0000-0000-000010010000}"/>
    <cellStyle name="쉼표 [0] 21" xfId="207" xr:uid="{00000000-0005-0000-0000-000011010000}"/>
    <cellStyle name="쉼표 [0] 21 2" xfId="208" xr:uid="{00000000-0005-0000-0000-000012010000}"/>
    <cellStyle name="쉼표 [0] 21 2 2" xfId="336" xr:uid="{00000000-0005-0000-0000-000013010000}"/>
    <cellStyle name="쉼표 [0] 21 2 2 2" xfId="416" xr:uid="{00000000-0005-0000-0000-000014010000}"/>
    <cellStyle name="쉼표 [0] 21 2 3" xfId="376" xr:uid="{00000000-0005-0000-0000-000015010000}"/>
    <cellStyle name="쉼표 [0] 21 3" xfId="335" xr:uid="{00000000-0005-0000-0000-000016010000}"/>
    <cellStyle name="쉼표 [0] 21 3 2" xfId="415" xr:uid="{00000000-0005-0000-0000-000017010000}"/>
    <cellStyle name="쉼표 [0] 21 4" xfId="375" xr:uid="{00000000-0005-0000-0000-000018010000}"/>
    <cellStyle name="쉼표 [0] 3" xfId="209" xr:uid="{00000000-0005-0000-0000-000019010000}"/>
    <cellStyle name="쉼표 [0] 3 2" xfId="210" xr:uid="{00000000-0005-0000-0000-00001A010000}"/>
    <cellStyle name="쉼표 [0] 3 2 2" xfId="338" xr:uid="{00000000-0005-0000-0000-00001B010000}"/>
    <cellStyle name="쉼표 [0] 3 2 2 2" xfId="418" xr:uid="{00000000-0005-0000-0000-00001C010000}"/>
    <cellStyle name="쉼표 [0] 3 2 3" xfId="378" xr:uid="{00000000-0005-0000-0000-00001D010000}"/>
    <cellStyle name="쉼표 [0] 3 3" xfId="337" xr:uid="{00000000-0005-0000-0000-00001E010000}"/>
    <cellStyle name="쉼표 [0] 3 3 2" xfId="417" xr:uid="{00000000-0005-0000-0000-00001F010000}"/>
    <cellStyle name="쉼표 [0] 3 4" xfId="377" xr:uid="{00000000-0005-0000-0000-000020010000}"/>
    <cellStyle name="쉼표 [0] 4" xfId="211" xr:uid="{00000000-0005-0000-0000-000021010000}"/>
    <cellStyle name="쉼표 [0] 4 2" xfId="212" xr:uid="{00000000-0005-0000-0000-000022010000}"/>
    <cellStyle name="쉼표 [0] 4 2 2" xfId="340" xr:uid="{00000000-0005-0000-0000-000023010000}"/>
    <cellStyle name="쉼표 [0] 4 2 2 2" xfId="420" xr:uid="{00000000-0005-0000-0000-000024010000}"/>
    <cellStyle name="쉼표 [0] 4 2 3" xfId="380" xr:uid="{00000000-0005-0000-0000-000025010000}"/>
    <cellStyle name="쉼표 [0] 4 3" xfId="339" xr:uid="{00000000-0005-0000-0000-000026010000}"/>
    <cellStyle name="쉼표 [0] 4 3 2" xfId="419" xr:uid="{00000000-0005-0000-0000-000027010000}"/>
    <cellStyle name="쉼표 [0] 4 4" xfId="379" xr:uid="{00000000-0005-0000-0000-000028010000}"/>
    <cellStyle name="쉼표 [0] 5" xfId="213" xr:uid="{00000000-0005-0000-0000-000029010000}"/>
    <cellStyle name="쉼표 [0] 5 2" xfId="214" xr:uid="{00000000-0005-0000-0000-00002A010000}"/>
    <cellStyle name="쉼표 [0] 5 2 2" xfId="342" xr:uid="{00000000-0005-0000-0000-00002B010000}"/>
    <cellStyle name="쉼표 [0] 5 2 2 2" xfId="422" xr:uid="{00000000-0005-0000-0000-00002C010000}"/>
    <cellStyle name="쉼표 [0] 5 2 3" xfId="382" xr:uid="{00000000-0005-0000-0000-00002D010000}"/>
    <cellStyle name="쉼표 [0] 5 3" xfId="341" xr:uid="{00000000-0005-0000-0000-00002E010000}"/>
    <cellStyle name="쉼표 [0] 5 3 2" xfId="421" xr:uid="{00000000-0005-0000-0000-00002F010000}"/>
    <cellStyle name="쉼표 [0] 5 4" xfId="381" xr:uid="{00000000-0005-0000-0000-000030010000}"/>
    <cellStyle name="쉼표 [0] 6" xfId="215" xr:uid="{00000000-0005-0000-0000-000031010000}"/>
    <cellStyle name="쉼표 [0] 6 2" xfId="216" xr:uid="{00000000-0005-0000-0000-000032010000}"/>
    <cellStyle name="쉼표 [0] 6 2 2" xfId="344" xr:uid="{00000000-0005-0000-0000-000033010000}"/>
    <cellStyle name="쉼표 [0] 6 2 2 2" xfId="424" xr:uid="{00000000-0005-0000-0000-000034010000}"/>
    <cellStyle name="쉼표 [0] 6 2 3" xfId="384" xr:uid="{00000000-0005-0000-0000-000035010000}"/>
    <cellStyle name="쉼표 [0] 6 3" xfId="343" xr:uid="{00000000-0005-0000-0000-000036010000}"/>
    <cellStyle name="쉼표 [0] 6 3 2" xfId="423" xr:uid="{00000000-0005-0000-0000-000037010000}"/>
    <cellStyle name="쉼표 [0] 6 4" xfId="383" xr:uid="{00000000-0005-0000-0000-000038010000}"/>
    <cellStyle name="쉼표 [0] 7" xfId="217" xr:uid="{00000000-0005-0000-0000-000039010000}"/>
    <cellStyle name="쉼표 [0] 7 2" xfId="218" xr:uid="{00000000-0005-0000-0000-00003A010000}"/>
    <cellStyle name="쉼표 [0] 7 2 2" xfId="346" xr:uid="{00000000-0005-0000-0000-00003B010000}"/>
    <cellStyle name="쉼표 [0] 7 2 2 2" xfId="426" xr:uid="{00000000-0005-0000-0000-00003C010000}"/>
    <cellStyle name="쉼표 [0] 7 2 3" xfId="386" xr:uid="{00000000-0005-0000-0000-00003D010000}"/>
    <cellStyle name="쉼표 [0] 7 3" xfId="345" xr:uid="{00000000-0005-0000-0000-00003E010000}"/>
    <cellStyle name="쉼표 [0] 7 3 2" xfId="425" xr:uid="{00000000-0005-0000-0000-00003F010000}"/>
    <cellStyle name="쉼표 [0] 7 4" xfId="385" xr:uid="{00000000-0005-0000-0000-000040010000}"/>
    <cellStyle name="쉼표 [0] 8" xfId="219" xr:uid="{00000000-0005-0000-0000-000041010000}"/>
    <cellStyle name="쉼표 [0] 8 2" xfId="220" xr:uid="{00000000-0005-0000-0000-000042010000}"/>
    <cellStyle name="쉼표 [0] 8 2 2" xfId="348" xr:uid="{00000000-0005-0000-0000-000043010000}"/>
    <cellStyle name="쉼표 [0] 8 2 2 2" xfId="428" xr:uid="{00000000-0005-0000-0000-000044010000}"/>
    <cellStyle name="쉼표 [0] 8 2 3" xfId="388" xr:uid="{00000000-0005-0000-0000-000045010000}"/>
    <cellStyle name="쉼표 [0] 8 3" xfId="347" xr:uid="{00000000-0005-0000-0000-000046010000}"/>
    <cellStyle name="쉼표 [0] 8 3 2" xfId="427" xr:uid="{00000000-0005-0000-0000-000047010000}"/>
    <cellStyle name="쉼표 [0] 8 4" xfId="387" xr:uid="{00000000-0005-0000-0000-000048010000}"/>
    <cellStyle name="쉼표 [0] 9" xfId="221" xr:uid="{00000000-0005-0000-0000-000049010000}"/>
    <cellStyle name="쉼표 [0] 9 2" xfId="222" xr:uid="{00000000-0005-0000-0000-00004A010000}"/>
    <cellStyle name="쉼표 [0] 9 2 2" xfId="350" xr:uid="{00000000-0005-0000-0000-00004B010000}"/>
    <cellStyle name="쉼표 [0] 9 2 2 2" xfId="430" xr:uid="{00000000-0005-0000-0000-00004C010000}"/>
    <cellStyle name="쉼표 [0] 9 2 3" xfId="390" xr:uid="{00000000-0005-0000-0000-00004D010000}"/>
    <cellStyle name="쉼표 [0] 9 3" xfId="349" xr:uid="{00000000-0005-0000-0000-00004E010000}"/>
    <cellStyle name="쉼표 [0] 9 3 2" xfId="429" xr:uid="{00000000-0005-0000-0000-00004F010000}"/>
    <cellStyle name="쉼표 [0] 9 4" xfId="389" xr:uid="{00000000-0005-0000-0000-000050010000}"/>
    <cellStyle name="스타일 1" xfId="1" xr:uid="{00000000-0005-0000-0000-000051010000}"/>
    <cellStyle name="스타일 10" xfId="223" xr:uid="{00000000-0005-0000-0000-000052010000}"/>
    <cellStyle name="스타일 11" xfId="224" xr:uid="{00000000-0005-0000-0000-000053010000}"/>
    <cellStyle name="스타일 12" xfId="225" xr:uid="{00000000-0005-0000-0000-000054010000}"/>
    <cellStyle name="스타일 13" xfId="226" xr:uid="{00000000-0005-0000-0000-000055010000}"/>
    <cellStyle name="스타일 14" xfId="227" xr:uid="{00000000-0005-0000-0000-000056010000}"/>
    <cellStyle name="스타일 15" xfId="228" xr:uid="{00000000-0005-0000-0000-000057010000}"/>
    <cellStyle name="스타일 16" xfId="229" xr:uid="{00000000-0005-0000-0000-000058010000}"/>
    <cellStyle name="스타일 17" xfId="230" xr:uid="{00000000-0005-0000-0000-000059010000}"/>
    <cellStyle name="스타일 2" xfId="231" xr:uid="{00000000-0005-0000-0000-00005A010000}"/>
    <cellStyle name="스타일 3" xfId="232" xr:uid="{00000000-0005-0000-0000-00005B010000}"/>
    <cellStyle name="스타일 4" xfId="233" xr:uid="{00000000-0005-0000-0000-00005C010000}"/>
    <cellStyle name="스타일 5" xfId="234" xr:uid="{00000000-0005-0000-0000-00005D010000}"/>
    <cellStyle name="스타일 6" xfId="235" xr:uid="{00000000-0005-0000-0000-00005E010000}"/>
    <cellStyle name="스타일 7" xfId="236" xr:uid="{00000000-0005-0000-0000-00005F010000}"/>
    <cellStyle name="스타일 8" xfId="237" xr:uid="{00000000-0005-0000-0000-000060010000}"/>
    <cellStyle name="스타일 9" xfId="238" xr:uid="{00000000-0005-0000-0000-000061010000}"/>
    <cellStyle name="样式 1" xfId="239" xr:uid="{00000000-0005-0000-0000-000062010000}"/>
    <cellStyle name="연결된 셀 2" xfId="240" xr:uid="{00000000-0005-0000-0000-000063010000}"/>
    <cellStyle name="요약 2" xfId="241" xr:uid="{00000000-0005-0000-0000-000064010000}"/>
    <cellStyle name="입력 2" xfId="242" xr:uid="{00000000-0005-0000-0000-000065010000}"/>
    <cellStyle name="자리수0" xfId="243" xr:uid="{00000000-0005-0000-0000-000066010000}"/>
    <cellStyle name="제목 1 2" xfId="244" xr:uid="{00000000-0005-0000-0000-000067010000}"/>
    <cellStyle name="제목 2 2" xfId="245" xr:uid="{00000000-0005-0000-0000-000068010000}"/>
    <cellStyle name="제목 3 2" xfId="246" xr:uid="{00000000-0005-0000-0000-000069010000}"/>
    <cellStyle name="제목 4 2" xfId="247" xr:uid="{00000000-0005-0000-0000-00006A010000}"/>
    <cellStyle name="제목 5" xfId="248" xr:uid="{00000000-0005-0000-0000-00006B010000}"/>
    <cellStyle name="좋음 2" xfId="249" xr:uid="{00000000-0005-0000-0000-00006C010000}"/>
    <cellStyle name="줿㼿㼿㼿㼿㼿㼿㼿㼿㼿㼿㼿㼿㼿" xfId="250" xr:uid="{00000000-0005-0000-0000-00006D010000}"/>
    <cellStyle name="줿㼿㼿㼿㼿㼿㼿㼿㼿㼿㼿㼿㼿㼿㼿㼿㼿㼿㼿?" xfId="251" xr:uid="{00000000-0005-0000-0000-00006E010000}"/>
    <cellStyle name="출력 2" xfId="252" xr:uid="{00000000-0005-0000-0000-00006F010000}"/>
    <cellStyle name="콤마 [0]_3월수율 " xfId="253" xr:uid="{00000000-0005-0000-0000-000070010000}"/>
    <cellStyle name="콤마_3월수율 " xfId="254" xr:uid="{00000000-0005-0000-0000-000071010000}"/>
    <cellStyle name="표준" xfId="0" builtinId="0"/>
    <cellStyle name="표준 10" xfId="255" xr:uid="{00000000-0005-0000-0000-000073010000}"/>
    <cellStyle name="표준 11" xfId="256" xr:uid="{00000000-0005-0000-0000-000074010000}"/>
    <cellStyle name="표준 12" xfId="257" xr:uid="{00000000-0005-0000-0000-000075010000}"/>
    <cellStyle name="표준 13" xfId="258" xr:uid="{00000000-0005-0000-0000-000076010000}"/>
    <cellStyle name="표준 14" xfId="259" xr:uid="{00000000-0005-0000-0000-000077010000}"/>
    <cellStyle name="표준 15" xfId="260" xr:uid="{00000000-0005-0000-0000-000078010000}"/>
    <cellStyle name="표준 16" xfId="261" xr:uid="{00000000-0005-0000-0000-000079010000}"/>
    <cellStyle name="표준 17" xfId="262" xr:uid="{00000000-0005-0000-0000-00007A010000}"/>
    <cellStyle name="표준 18" xfId="263" xr:uid="{00000000-0005-0000-0000-00007B010000}"/>
    <cellStyle name="표준 19" xfId="264" xr:uid="{00000000-0005-0000-0000-00007C010000}"/>
    <cellStyle name="표준 2" xfId="2" xr:uid="{00000000-0005-0000-0000-00007D010000}"/>
    <cellStyle name="표준 2 10" xfId="265" xr:uid="{00000000-0005-0000-0000-00007E010000}"/>
    <cellStyle name="표준 2 11" xfId="266" xr:uid="{00000000-0005-0000-0000-00007F010000}"/>
    <cellStyle name="표준 2 12" xfId="267" xr:uid="{00000000-0005-0000-0000-000080010000}"/>
    <cellStyle name="표준 2 13" xfId="268" xr:uid="{00000000-0005-0000-0000-000081010000}"/>
    <cellStyle name="표준 2 14" xfId="269" xr:uid="{00000000-0005-0000-0000-000082010000}"/>
    <cellStyle name="표준 2 15" xfId="270" xr:uid="{00000000-0005-0000-0000-000083010000}"/>
    <cellStyle name="표준 2 16" xfId="271" xr:uid="{00000000-0005-0000-0000-000084010000}"/>
    <cellStyle name="표준 2 2" xfId="3" xr:uid="{00000000-0005-0000-0000-000085010000}"/>
    <cellStyle name="표준 2 2 2" xfId="272" xr:uid="{00000000-0005-0000-0000-000086010000}"/>
    <cellStyle name="표준 2 3" xfId="273" xr:uid="{00000000-0005-0000-0000-000087010000}"/>
    <cellStyle name="표준 2 4" xfId="274" xr:uid="{00000000-0005-0000-0000-000088010000}"/>
    <cellStyle name="표준 2 5" xfId="275" xr:uid="{00000000-0005-0000-0000-000089010000}"/>
    <cellStyle name="표준 2 6" xfId="276" xr:uid="{00000000-0005-0000-0000-00008A010000}"/>
    <cellStyle name="표준 2 7" xfId="277" xr:uid="{00000000-0005-0000-0000-00008B010000}"/>
    <cellStyle name="표준 2 8" xfId="278" xr:uid="{00000000-0005-0000-0000-00008C010000}"/>
    <cellStyle name="표준 2 9" xfId="279" xr:uid="{00000000-0005-0000-0000-00008D010000}"/>
    <cellStyle name="표준 2_결함관리대장" xfId="280" xr:uid="{00000000-0005-0000-0000-00008E010000}"/>
    <cellStyle name="표준 20" xfId="281" xr:uid="{00000000-0005-0000-0000-00008F010000}"/>
    <cellStyle name="표준 21" xfId="282" xr:uid="{00000000-0005-0000-0000-000090010000}"/>
    <cellStyle name="표준 22" xfId="283" xr:uid="{00000000-0005-0000-0000-000091010000}"/>
    <cellStyle name="표준 23" xfId="284" xr:uid="{00000000-0005-0000-0000-000092010000}"/>
    <cellStyle name="표준 24" xfId="285" xr:uid="{00000000-0005-0000-0000-000093010000}"/>
    <cellStyle name="표준 25" xfId="286" xr:uid="{00000000-0005-0000-0000-000094010000}"/>
    <cellStyle name="표준 26" xfId="432" xr:uid="{00000000-0005-0000-0000-000095010000}"/>
    <cellStyle name="표준 27" xfId="433" xr:uid="{E8D1272B-B4F4-4D44-99B8-9E4BCE93704A}"/>
    <cellStyle name="표준 3" xfId="4" xr:uid="{00000000-0005-0000-0000-000096010000}"/>
    <cellStyle name="표준 3 2" xfId="287" xr:uid="{00000000-0005-0000-0000-000097010000}"/>
    <cellStyle name="표준 3 2 2" xfId="288" xr:uid="{00000000-0005-0000-0000-000098010000}"/>
    <cellStyle name="표준 3_결함관리대장" xfId="289" xr:uid="{00000000-0005-0000-0000-000099010000}"/>
    <cellStyle name="표준 32" xfId="290" xr:uid="{00000000-0005-0000-0000-00009A010000}"/>
    <cellStyle name="표준 4" xfId="5" xr:uid="{00000000-0005-0000-0000-00009B010000}"/>
    <cellStyle name="표준 4 2" xfId="291" xr:uid="{00000000-0005-0000-0000-00009C010000}"/>
    <cellStyle name="표준 4 3" xfId="292" xr:uid="{00000000-0005-0000-0000-00009D010000}"/>
    <cellStyle name="표준 4 4" xfId="306" xr:uid="{00000000-0005-0000-0000-00009E010000}"/>
    <cellStyle name="표준 4_03.단위결함관리대장(_응용-영업지원)_v1.0" xfId="293" xr:uid="{00000000-0005-0000-0000-00009F010000}"/>
    <cellStyle name="표준 5" xfId="6" xr:uid="{00000000-0005-0000-0000-0000A0010000}"/>
    <cellStyle name="표준 5 2" xfId="294" xr:uid="{00000000-0005-0000-0000-0000A1010000}"/>
    <cellStyle name="표준 5_03.단위결함관리대장(_응용-영업지원)_v1.0" xfId="295" xr:uid="{00000000-0005-0000-0000-0000A2010000}"/>
    <cellStyle name="표준 6" xfId="296" xr:uid="{00000000-0005-0000-0000-0000A3010000}"/>
    <cellStyle name="표준 7" xfId="297" xr:uid="{00000000-0005-0000-0000-0000A4010000}"/>
    <cellStyle name="표준 7 2" xfId="298" xr:uid="{00000000-0005-0000-0000-0000A5010000}"/>
    <cellStyle name="표준 7_CSSI-업무코드-DE-09(단위테스트케이스_프로그램사양서ID_명_설계자명)-V1.0" xfId="299" xr:uid="{00000000-0005-0000-0000-0000A6010000}"/>
    <cellStyle name="표준 8" xfId="300" xr:uid="{00000000-0005-0000-0000-0000A7010000}"/>
    <cellStyle name="표준 8 2" xfId="301" xr:uid="{00000000-0005-0000-0000-0000A8010000}"/>
    <cellStyle name="표준 8 2 2" xfId="302" xr:uid="{00000000-0005-0000-0000-0000A9010000}"/>
    <cellStyle name="표준 8_03.단위결함관리대장(_응용-영업지원)_v1.0" xfId="303" xr:uid="{00000000-0005-0000-0000-0000AA010000}"/>
    <cellStyle name="표준 9" xfId="304" xr:uid="{00000000-0005-0000-0000-0000AB010000}"/>
    <cellStyle name="표준_01.APD_List_업체명" xfId="308" xr:uid="{00000000-0005-0000-0000-0000AC010000}"/>
    <cellStyle name="표준_050522_TOK Line 실처리" xfId="309" xr:uid="{00000000-0005-0000-0000-0000AD010000}"/>
    <cellStyle name="標準_Equipment Alarm List" xfId="307" xr:uid="{00000000-0005-0000-0000-0000AE010000}"/>
    <cellStyle name="표준_P8 Alarm,APD,TPD,RCP Body,TAS 포맷" xfId="310" xr:uid="{00000000-0005-0000-0000-0000AF010000}"/>
    <cellStyle name="하이퍼링크" xfId="431" builtinId="8"/>
  </cellStyles>
  <dxfs count="0"/>
  <tableStyles count="0" defaultTableStyle="TableStyleMedium9" defaultPivotStyle="PivotStyleLight16"/>
  <colors>
    <mruColors>
      <color rgb="FF33CC3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276225</xdr:colOff>
      <xdr:row>20</xdr:row>
      <xdr:rowOff>133350</xdr:rowOff>
    </xdr:from>
    <xdr:to>
      <xdr:col>23</xdr:col>
      <xdr:colOff>190500</xdr:colOff>
      <xdr:row>22</xdr:row>
      <xdr:rowOff>47625</xdr:rowOff>
    </xdr:to>
    <xdr:pic>
      <xdr:nvPicPr>
        <xdr:cNvPr id="3" name="그림 21" descr="LGCNS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4019550"/>
          <a:ext cx="1400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57151</xdr:colOff>
      <xdr:row>9</xdr:row>
      <xdr:rowOff>23813</xdr:rowOff>
    </xdr:from>
    <xdr:to>
      <xdr:col>23</xdr:col>
      <xdr:colOff>190500</xdr:colOff>
      <xdr:row>9</xdr:row>
      <xdr:rowOff>23813</xdr:rowOff>
    </xdr:to>
    <xdr:sp macro="" textlink="">
      <xdr:nvSpPr>
        <xdr:cNvPr id="4" name="Line 1261">
          <a:extLst>
            <a:ext uri="{FF2B5EF4-FFF2-40B4-BE49-F238E27FC236}">
              <a16:creationId xmlns:a16="http://schemas.microsoft.com/office/drawing/2014/main" id="{9D51FFC6-E627-40E7-9ABD-F5D977143189}"/>
            </a:ext>
          </a:extLst>
        </xdr:cNvPr>
        <xdr:cNvSpPr>
          <a:spLocks noChangeShapeType="1"/>
        </xdr:cNvSpPr>
      </xdr:nvSpPr>
      <xdr:spPr bwMode="auto">
        <a:xfrm>
          <a:off x="370916" y="2040872"/>
          <a:ext cx="9344584" cy="0"/>
        </a:xfrm>
        <a:prstGeom prst="line">
          <a:avLst/>
        </a:prstGeom>
        <a:noFill/>
        <a:ln w="31750">
          <a:solidFill>
            <a:schemeClr val="tx1"/>
          </a:solidFill>
          <a:round/>
          <a:headEnd/>
          <a:tailEnd/>
        </a:ln>
      </xdr:spPr>
      <xdr:txBody>
        <a:bodyPr wrap="square" anchor="ctr"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1228725</xdr:colOff>
      <xdr:row>25</xdr:row>
      <xdr:rowOff>85725</xdr:rowOff>
    </xdr:from>
    <xdr:to>
      <xdr:col>7</xdr:col>
      <xdr:colOff>186690</xdr:colOff>
      <xdr:row>26</xdr:row>
      <xdr:rowOff>111125</xdr:rowOff>
    </xdr:to>
    <xdr:pic>
      <xdr:nvPicPr>
        <xdr:cNvPr id="7185" name="그림 1">
          <a:extLst>
            <a:ext uri="{FF2B5EF4-FFF2-40B4-BE49-F238E27FC236}">
              <a16:creationId xmlns:a16="http://schemas.microsoft.com/office/drawing/2014/main" id="{00000000-0008-0000-0100-00001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5572125"/>
          <a:ext cx="10096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342901</xdr:colOff>
      <xdr:row>5</xdr:row>
      <xdr:rowOff>123825</xdr:rowOff>
    </xdr:from>
    <xdr:to>
      <xdr:col>5</xdr:col>
      <xdr:colOff>23146</xdr:colOff>
      <xdr:row>10</xdr:row>
      <xdr:rowOff>267153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45036C-329C-4E2A-AC89-DB58B80C1158}"/>
            </a:ext>
          </a:extLst>
        </xdr:cNvPr>
        <xdr:cNvSpPr txBox="1"/>
      </xdr:nvSpPr>
      <xdr:spPr>
        <a:xfrm rot="19573906">
          <a:off x="2809876" y="1485900"/>
          <a:ext cx="5442870" cy="1857828"/>
        </a:xfrm>
        <a:prstGeom prst="rect">
          <a:avLst/>
        </a:prstGeom>
        <a:solidFill>
          <a:schemeClr val="lt1">
            <a:alpha val="0"/>
          </a:schemeClr>
        </a:solidFill>
        <a:ln w="666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6600" b="1">
              <a:solidFill>
                <a:srgbClr val="FF0000"/>
              </a:solidFill>
            </a:rPr>
            <a:t>작성 필요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651174</xdr:colOff>
      <xdr:row>7</xdr:row>
      <xdr:rowOff>560</xdr:rowOff>
    </xdr:from>
    <xdr:to>
      <xdr:col>15</xdr:col>
      <xdr:colOff>634912</xdr:colOff>
      <xdr:row>15</xdr:row>
      <xdr:rowOff>160161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9042139" y="2421031"/>
          <a:ext cx="2027691" cy="195254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EQP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533737</xdr:colOff>
      <xdr:row>9</xdr:row>
      <xdr:rowOff>116766</xdr:rowOff>
    </xdr:from>
    <xdr:to>
      <xdr:col>12</xdr:col>
      <xdr:colOff>339727</xdr:colOff>
      <xdr:row>12</xdr:row>
      <xdr:rowOff>38532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9431208" y="2279501"/>
          <a:ext cx="567990" cy="560502"/>
          <a:chOff x="1362075" y="179831"/>
          <a:chExt cx="698949" cy="477394"/>
        </a:xfrm>
      </xdr:grpSpPr>
      <xdr:sp macro="" textlink="">
        <xdr:nvSpPr>
          <xdr:cNvPr id="7" name="오른쪽 화살표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362075" y="495300"/>
            <a:ext cx="533400" cy="161925"/>
          </a:xfrm>
          <a:prstGeom prst="rightArrow">
            <a:avLst/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>
            <a:off x="1365698" y="179831"/>
            <a:ext cx="695326" cy="3291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500"/>
              <a:t>IN</a:t>
            </a:r>
            <a:endParaRPr lang="ko-KR" altLang="en-US" sz="1500"/>
          </a:p>
        </xdr:txBody>
      </xdr:sp>
    </xdr:grpSp>
    <xdr:clientData/>
  </xdr:twoCellAnchor>
  <xdr:twoCellAnchor>
    <xdr:from>
      <xdr:col>16</xdr:col>
      <xdr:colOff>284182</xdr:colOff>
      <xdr:row>10</xdr:row>
      <xdr:rowOff>2085</xdr:rowOff>
    </xdr:from>
    <xdr:to>
      <xdr:col>17</xdr:col>
      <xdr:colOff>261322</xdr:colOff>
      <xdr:row>12</xdr:row>
      <xdr:rowOff>29043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2991653" y="2377732"/>
          <a:ext cx="739140" cy="452782"/>
          <a:chOff x="5351922" y="2267222"/>
          <a:chExt cx="616878" cy="409811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5351922" y="2267222"/>
            <a:ext cx="616878" cy="285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rtlCol="0" anchor="ctr"/>
          <a:lstStyle/>
          <a:p>
            <a:pPr algn="ctr"/>
            <a:r>
              <a:rPr lang="en-US" altLang="ko-KR" sz="1500"/>
              <a:t>OUT</a:t>
            </a:r>
            <a:endParaRPr lang="ko-KR" altLang="en-US" sz="1500"/>
          </a:p>
        </xdr:txBody>
      </xdr:sp>
      <xdr:sp macro="" textlink="">
        <xdr:nvSpPr>
          <xdr:cNvPr id="11" name="오른쪽 화살표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5436088" y="2510790"/>
            <a:ext cx="473222" cy="166243"/>
          </a:xfrm>
          <a:prstGeom prst="rightArrow">
            <a:avLst/>
          </a:prstGeom>
          <a:solidFill>
            <a:srgbClr val="FFC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636607</xdr:colOff>
      <xdr:row>7</xdr:row>
      <xdr:rowOff>151056</xdr:rowOff>
    </xdr:from>
    <xdr:to>
      <xdr:col>16</xdr:col>
      <xdr:colOff>272274</xdr:colOff>
      <xdr:row>14</xdr:row>
      <xdr:rowOff>145505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1071525" y="2571527"/>
          <a:ext cx="316984" cy="1563272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chemeClr val="tx1"/>
              </a:solidFill>
            </a:rPr>
            <a:t>2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339427</xdr:colOff>
      <xdr:row>7</xdr:row>
      <xdr:rowOff>151056</xdr:rowOff>
    </xdr:from>
    <xdr:to>
      <xdr:col>12</xdr:col>
      <xdr:colOff>656411</xdr:colOff>
      <xdr:row>14</xdr:row>
      <xdr:rowOff>145505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730392" y="2571527"/>
          <a:ext cx="316984" cy="1563272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chemeClr val="tx1"/>
              </a:solidFill>
            </a:rPr>
            <a:t>1</a:t>
          </a:r>
          <a:endParaRPr lang="ko-KR" alt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276562</xdr:colOff>
      <xdr:row>3</xdr:row>
      <xdr:rowOff>44375</xdr:rowOff>
    </xdr:from>
    <xdr:to>
      <xdr:col>17</xdr:col>
      <xdr:colOff>360382</xdr:colOff>
      <xdr:row>24</xdr:row>
      <xdr:rowOff>215153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986209" y="1568375"/>
          <a:ext cx="4171726" cy="48951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432099</xdr:colOff>
      <xdr:row>1</xdr:row>
      <xdr:rowOff>920675</xdr:rowOff>
    </xdr:from>
    <xdr:ext cx="1922193" cy="73152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8141746" y="1144793"/>
          <a:ext cx="1922193" cy="73152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altLang="ko-KR" sz="3600">
              <a:solidFill>
                <a:schemeClr val="tx1"/>
              </a:solidFill>
              <a:latin typeface="+mn-ea"/>
              <a:ea typeface="+mn-ea"/>
            </a:rPr>
            <a:t>Example</a:t>
          </a:r>
          <a:endParaRPr lang="ko-KR" altLang="en-US" sz="36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658185</xdr:colOff>
      <xdr:row>11</xdr:row>
      <xdr:rowOff>519632</xdr:rowOff>
    </xdr:from>
    <xdr:to>
      <xdr:col>3</xdr:col>
      <xdr:colOff>4114173</xdr:colOff>
      <xdr:row>11</xdr:row>
      <xdr:rowOff>2843732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GrpSpPr/>
      </xdr:nvGrpSpPr>
      <xdr:grpSpPr>
        <a:xfrm>
          <a:off x="9244292" y="19692096"/>
          <a:ext cx="3455988" cy="2324100"/>
          <a:chOff x="692696" y="2248633"/>
          <a:chExt cx="3455988" cy="2231579"/>
        </a:xfrm>
      </xdr:grpSpPr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00000000-0008-0000-0700-000048000000}"/>
              </a:ext>
            </a:extLst>
          </xdr:cNvPr>
          <xdr:cNvSpPr/>
        </xdr:nvSpPr>
        <xdr:spPr bwMode="auto">
          <a:xfrm>
            <a:off x="692696" y="2248633"/>
            <a:ext cx="3455988" cy="2231579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9pPr>
          </a:lstStyle>
          <a:p>
            <a:pPr eaLnBrk="1" latinLnBrk="1" hangingPunct="1">
              <a:defRPr/>
            </a:pPr>
            <a:endParaRPr lang="ko-KR" altLang="ko-KR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700-000049000000}"/>
              </a:ext>
            </a:extLst>
          </xdr:cNvPr>
          <xdr:cNvSpPr/>
        </xdr:nvSpPr>
        <xdr:spPr bwMode="auto">
          <a:xfrm>
            <a:off x="748259" y="2307372"/>
            <a:ext cx="3344862" cy="301625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9pPr>
          </a:lstStyle>
          <a:p>
            <a:pPr algn="ctr" eaLnBrk="1" latinLnBrk="1" hangingPunct="1">
              <a:defRPr/>
            </a:pP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Recipe </a:t>
            </a:r>
            <a:r>
              <a:rPr lang="ko-KR" altLang="en-US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변경 불가 </a:t>
            </a: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!!</a:t>
            </a:r>
            <a:endParaRPr lang="ko-KR" altLang="ko-KR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4" name="TextBox 14">
            <a:extLst>
              <a:ext uri="{FF2B5EF4-FFF2-40B4-BE49-F238E27FC236}">
                <a16:creationId xmlns:a16="http://schemas.microsoft.com/office/drawing/2014/main" id="{00000000-0008-0000-0700-00004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9696" y="2659797"/>
            <a:ext cx="2920992" cy="7848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9pPr>
          </a:lstStyle>
          <a:p>
            <a:pPr eaLnBrk="1" latinLnBrk="1" hangingPunct="1">
              <a:lnSpc>
                <a:spcPct val="150000"/>
              </a:lnSpc>
            </a:pP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MES Command</a:t>
            </a:r>
            <a:r>
              <a:rPr lang="ko-KR" altLang="en-US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 </a:t>
            </a: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: PP-SELECT</a:t>
            </a:r>
          </a:p>
          <a:p>
            <a:pPr eaLnBrk="1" latinLnBrk="1" hangingPunct="1">
              <a:lnSpc>
                <a:spcPct val="150000"/>
              </a:lnSpc>
            </a:pP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Message          : xxxxx </a:t>
            </a:r>
            <a:r>
              <a:rPr lang="ko-KR" altLang="en-US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사유로 </a:t>
            </a:r>
            <a:endParaRPr lang="en-US" altLang="ko-KR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eaLnBrk="1" latinLnBrk="1" hangingPunct="1">
              <a:lnSpc>
                <a:spcPct val="150000"/>
              </a:lnSpc>
            </a:pP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                       Recipe </a:t>
            </a:r>
            <a:r>
              <a:rPr lang="ko-KR" altLang="en-US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변경이 불가능 합니다</a:t>
            </a:r>
            <a:r>
              <a:rPr lang="en-US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.</a:t>
            </a:r>
            <a:endParaRPr lang="ko-KR" altLang="en-US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3</xdr:col>
      <xdr:colOff>3260841</xdr:colOff>
      <xdr:row>11</xdr:row>
      <xdr:rowOff>2362200</xdr:rowOff>
    </xdr:from>
    <xdr:to>
      <xdr:col>3</xdr:col>
      <xdr:colOff>3953692</xdr:colOff>
      <xdr:row>11</xdr:row>
      <xdr:rowOff>2719387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/>
      </xdr:nvSpPr>
      <xdr:spPr bwMode="auto">
        <a:xfrm>
          <a:off x="10671291" y="23622000"/>
          <a:ext cx="692851" cy="357187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rgbClr val="000000"/>
          </a:solidFill>
          <a:prstDash val="solid"/>
          <a:round/>
          <a:headEnd type="stealth" w="med" len="med"/>
          <a:tailEnd type="none" w="med" len="med"/>
        </a:ln>
        <a:effectLst/>
      </xdr:spPr>
      <xdr:txBody>
        <a:bodyPr wrap="square" lIns="92075" tIns="46038" rIns="92075" bIns="46038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9pPr>
        </a:lstStyle>
        <a:p>
          <a:pPr algn="ctr">
            <a:defRPr/>
          </a:pPr>
          <a:r>
            <a:rPr lang="en-US" altLang="ko-KR" sz="12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CLOSE</a:t>
          </a:r>
          <a:endParaRPr lang="ko-KR" altLang="en-US" sz="12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2520042</xdr:colOff>
      <xdr:row>11</xdr:row>
      <xdr:rowOff>2367984</xdr:rowOff>
    </xdr:from>
    <xdr:to>
      <xdr:col>3</xdr:col>
      <xdr:colOff>3203304</xdr:colOff>
      <xdr:row>11</xdr:row>
      <xdr:rowOff>2725171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/>
      </xdr:nvSpPr>
      <xdr:spPr bwMode="auto">
        <a:xfrm>
          <a:off x="9930492" y="23627784"/>
          <a:ext cx="683262" cy="357187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rgbClr val="000000"/>
          </a:solidFill>
          <a:prstDash val="solid"/>
          <a:round/>
          <a:headEnd type="stealth" w="med" len="med"/>
          <a:tailEnd type="none" w="med" len="med"/>
        </a:ln>
        <a:effectLst/>
      </xdr:spPr>
      <xdr:txBody>
        <a:bodyPr wrap="square" lIns="92075" tIns="46038" rIns="92075" bIns="46038" anchor="ctr"/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kern="1200">
              <a:solidFill>
                <a:srgbClr val="FF0000"/>
              </a:solidFill>
              <a:latin typeface="Times New Roman" panose="02020603050405020304" pitchFamily="18" charset="0"/>
              <a:ea typeface="굴림" panose="020B0600000101010101" pitchFamily="50" charset="-127"/>
              <a:cs typeface="+mn-cs"/>
            </a:defRPr>
          </a:lvl9pPr>
        </a:lstStyle>
        <a:p>
          <a:pPr algn="ctr">
            <a:defRPr/>
          </a:pPr>
          <a:r>
            <a:rPr lang="en-US" altLang="ko-KR" sz="12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RETRY</a:t>
          </a:r>
          <a:endParaRPr lang="ko-KR" altLang="en-US" sz="120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3815443</xdr:colOff>
      <xdr:row>10</xdr:row>
      <xdr:rowOff>511630</xdr:rowOff>
    </xdr:from>
    <xdr:to>
      <xdr:col>3</xdr:col>
      <xdr:colOff>4006261</xdr:colOff>
      <xdr:row>10</xdr:row>
      <xdr:rowOff>3018561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4767943" y="16173451"/>
          <a:ext cx="7824425" cy="2506931"/>
          <a:chOff x="4539342" y="4561114"/>
          <a:chExt cx="6537190" cy="2506931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GrpSpPr/>
        </xdr:nvGrpSpPr>
        <xdr:grpSpPr>
          <a:xfrm>
            <a:off x="8032024" y="4750254"/>
            <a:ext cx="3044508" cy="2231579"/>
            <a:chOff x="4007400" y="5871482"/>
            <a:chExt cx="3455988" cy="2231579"/>
          </a:xfrm>
        </xdr:grpSpPr>
        <xdr:grpSp>
          <xdr:nvGrpSpPr>
            <xdr:cNvPr id="66" name="그룹 65">
              <a:extLst>
                <a:ext uri="{FF2B5EF4-FFF2-40B4-BE49-F238E27FC236}">
                  <a16:creationId xmlns:a16="http://schemas.microsoft.com/office/drawing/2014/main" id="{00000000-0008-0000-0700-000042000000}"/>
                </a:ext>
              </a:extLst>
            </xdr:cNvPr>
            <xdr:cNvGrpSpPr/>
          </xdr:nvGrpSpPr>
          <xdr:grpSpPr>
            <a:xfrm>
              <a:off x="4007400" y="5871482"/>
              <a:ext cx="3455988" cy="2231579"/>
              <a:chOff x="718646" y="2000672"/>
              <a:chExt cx="3455988" cy="2231579"/>
            </a:xfrm>
          </xdr:grpSpPr>
          <xdr:sp macro="" textlink="">
            <xdr:nvSpPr>
              <xdr:cNvPr id="67" name="직사각형 66">
                <a:extLst>
                  <a:ext uri="{FF2B5EF4-FFF2-40B4-BE49-F238E27FC236}">
                    <a16:creationId xmlns:a16="http://schemas.microsoft.com/office/drawing/2014/main" id="{00000000-0008-0000-0700-000043000000}"/>
                  </a:ext>
                </a:extLst>
              </xdr:cNvPr>
              <xdr:cNvSpPr/>
            </xdr:nvSpPr>
            <xdr:spPr bwMode="auto">
              <a:xfrm>
                <a:off x="718646" y="2000672"/>
                <a:ext cx="3455988" cy="2231579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 w="12700" cap="flat" cmpd="sng" algn="ctr">
                <a:solidFill>
                  <a:srgbClr val="000000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wrap="square" lIns="92075" tIns="46038" rIns="92075" bIns="46038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eaLnBrk="1" latinLnBrk="1" hangingPunct="1">
                  <a:defRPr/>
                </a:pPr>
                <a:endParaRPr lang="ko-KR" altLang="ko-KR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68" name="직사각형 67">
                <a:extLst>
                  <a:ext uri="{FF2B5EF4-FFF2-40B4-BE49-F238E27FC236}">
                    <a16:creationId xmlns:a16="http://schemas.microsoft.com/office/drawing/2014/main" id="{00000000-0008-0000-0700-000044000000}"/>
                  </a:ext>
                </a:extLst>
              </xdr:cNvPr>
              <xdr:cNvSpPr/>
            </xdr:nvSpPr>
            <xdr:spPr bwMode="auto">
              <a:xfrm>
                <a:off x="748259" y="2059410"/>
                <a:ext cx="3344862" cy="301625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 w="12700" cap="flat" cmpd="sng" algn="ctr">
                <a:solidFill>
                  <a:srgbClr val="000000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wrap="square" lIns="92075" tIns="46038" rIns="92075" bIns="46038" anchor="ctr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 eaLnBrk="1" latinLnBrk="1" hangingPunct="1">
                  <a:defRPr/>
                </a:pP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MES</a:t>
                </a:r>
                <a:r>
                  <a:rPr lang="ko-KR" altLang="en-US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로부터 </a:t>
                </a: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[LGIT_TRAY_ID_FAIL] </a:t>
                </a:r>
                <a:r>
                  <a:rPr lang="ko-KR" altLang="en-US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명령 수신 </a:t>
                </a: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!!</a:t>
                </a:r>
                <a:endParaRPr lang="ko-KR" altLang="ko-KR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69" name="TextBox 14">
                <a:extLst>
                  <a:ext uri="{FF2B5EF4-FFF2-40B4-BE49-F238E27FC236}">
                    <a16:creationId xmlns:a16="http://schemas.microsoft.com/office/drawing/2014/main" id="{00000000-0008-0000-0700-000045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819696" y="2411835"/>
                <a:ext cx="2701381" cy="175528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>
                <a:spAutoFit/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eaLnBrk="1" latinLnBrk="1" hangingPunct="1">
                  <a:lnSpc>
                    <a:spcPct val="150000"/>
                  </a:lnSpc>
                </a:pP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LOT ID             : xxxxxxxx</a:t>
                </a:r>
              </a:p>
              <a:p>
                <a:pPr eaLnBrk="1" latinLnBrk="1" hangingPunct="1">
                  <a:lnSpc>
                    <a:spcPct val="150000"/>
                  </a:lnSpc>
                </a:pP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Code               : xxxxxx</a:t>
                </a:r>
              </a:p>
              <a:p>
                <a:pPr eaLnBrk="1" latinLnBrk="1" hangingPunct="1">
                  <a:lnSpc>
                    <a:spcPct val="150000"/>
                  </a:lnSpc>
                </a:pP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Message          : xxxxxxxxxxxxxxxxxxxxxxxxx</a:t>
                </a:r>
              </a:p>
              <a:p>
                <a:pPr eaLnBrk="1" latinLnBrk="1" hangingPunct="1">
                  <a:lnSpc>
                    <a:spcPct val="150000"/>
                  </a:lnSpc>
                </a:pPr>
                <a:r>
                  <a:rPr lang="en-US" altLang="ko-KR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             </a:t>
                </a:r>
                <a:endParaRPr lang="ko-KR" altLang="en-US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70" name="직사각형 69">
                <a:extLst>
                  <a:ext uri="{FF2B5EF4-FFF2-40B4-BE49-F238E27FC236}">
                    <a16:creationId xmlns:a16="http://schemas.microsoft.com/office/drawing/2014/main" id="{00000000-0008-0000-0700-000046000000}"/>
                  </a:ext>
                </a:extLst>
              </xdr:cNvPr>
              <xdr:cNvSpPr/>
            </xdr:nvSpPr>
            <xdr:spPr bwMode="auto">
              <a:xfrm>
                <a:off x="3297103" y="3758374"/>
                <a:ext cx="786493" cy="357187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 w="12700" cap="flat" cmpd="sng" algn="ctr">
                <a:solidFill>
                  <a:srgbClr val="000000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wrap="square" lIns="92075" tIns="46038" rIns="92075" bIns="46038" anchor="ctr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kern="1200">
                    <a:solidFill>
                      <a:srgbClr val="FF0000"/>
                    </a:solidFill>
                    <a:latin typeface="Times New Roman" panose="02020603050405020304" pitchFamily="18" charset="0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>
                  <a:defRPr/>
                </a:pPr>
                <a:r>
                  <a:rPr lang="en-US" altLang="ko-KR" sz="1200"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CLOSE</a:t>
                </a:r>
                <a:endParaRPr lang="ko-KR" altLang="en-US" sz="1200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40" name="직사각형 39">
              <a:extLst>
                <a:ext uri="{FF2B5EF4-FFF2-40B4-BE49-F238E27FC236}">
                  <a16:creationId xmlns:a16="http://schemas.microsoft.com/office/drawing/2014/main" id="{00000000-0008-0000-0700-000028000000}"/>
                </a:ext>
              </a:extLst>
            </xdr:cNvPr>
            <xdr:cNvSpPr/>
          </xdr:nvSpPr>
          <xdr:spPr bwMode="auto">
            <a:xfrm>
              <a:off x="5744936" y="7634968"/>
              <a:ext cx="775608" cy="357187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en-US" altLang="ko-KR" sz="1200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RETRY</a:t>
              </a:r>
              <a:endParaRPr lang="ko-KR" altLang="en-US" sz="1200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8895806" y="4729843"/>
            <a:ext cx="1234440" cy="426720"/>
          </a:xfrm>
          <a:prstGeom prst="rect">
            <a:avLst/>
          </a:prstGeom>
          <a:noFill/>
          <a:ln w="38100">
            <a:solidFill>
              <a:srgbClr val="FF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2000">
              <a:solidFill>
                <a:schemeClr val="tx1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CxnSpPr>
            <a:endCxn id="16" idx="3"/>
          </xdr:cNvCxnSpPr>
        </xdr:nvCxnSpPr>
        <xdr:spPr>
          <a:xfrm flipH="1" flipV="1">
            <a:off x="7407150" y="4729237"/>
            <a:ext cx="1456791" cy="204962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5889170" y="4561114"/>
            <a:ext cx="1517980" cy="336246"/>
          </a:xfrm>
          <a:prstGeom prst="rect">
            <a:avLst/>
          </a:prstGeom>
          <a:solidFill>
            <a:srgbClr val="FFC000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100"/>
              <a:t>수신된 명령으로 변경</a:t>
            </a:r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/>
        </xdr:nvSpPr>
        <xdr:spPr>
          <a:xfrm>
            <a:off x="9470571" y="6433457"/>
            <a:ext cx="833846" cy="500743"/>
          </a:xfrm>
          <a:prstGeom prst="rect">
            <a:avLst/>
          </a:prstGeom>
          <a:noFill/>
          <a:ln w="38100">
            <a:solidFill>
              <a:srgbClr val="FF000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2000">
              <a:solidFill>
                <a:schemeClr val="tx1"/>
              </a:solidFill>
            </a:endParaRPr>
          </a:p>
        </xdr:txBody>
      </xdr:sp>
      <xdr:cxnSp macro="">
        <xdr:nvCxnSpPr>
          <xdr:cNvPr id="86" name="직선 화살표 연결선 85">
            <a:extLst>
              <a:ext uri="{FF2B5EF4-FFF2-40B4-BE49-F238E27FC236}">
                <a16:creationId xmlns:a16="http://schemas.microsoft.com/office/drawing/2014/main" id="{00000000-0008-0000-0700-000056000000}"/>
              </a:ext>
            </a:extLst>
          </xdr:cNvPr>
          <xdr:cNvCxnSpPr>
            <a:stCxn id="85" idx="1"/>
            <a:endCxn id="88" idx="3"/>
          </xdr:cNvCxnSpPr>
        </xdr:nvCxnSpPr>
        <xdr:spPr>
          <a:xfrm flipH="1">
            <a:off x="7719315" y="6683829"/>
            <a:ext cx="1751256" cy="94137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700-000058000000}"/>
              </a:ext>
            </a:extLst>
          </xdr:cNvPr>
          <xdr:cNvSpPr txBox="1"/>
        </xdr:nvSpPr>
        <xdr:spPr>
          <a:xfrm>
            <a:off x="4539342" y="6487886"/>
            <a:ext cx="3179973" cy="580159"/>
          </a:xfrm>
          <a:prstGeom prst="rect">
            <a:avLst/>
          </a:prstGeom>
          <a:solidFill>
            <a:srgbClr val="FFC000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100"/>
              <a:t>작업자 조치 후 </a:t>
            </a:r>
            <a:r>
              <a:rPr lang="en-US" altLang="ko-KR" sz="1100"/>
              <a:t>Retry </a:t>
            </a:r>
            <a:r>
              <a:rPr lang="ko-KR" altLang="en-US" sz="1100"/>
              <a:t>가능한 것들은</a:t>
            </a:r>
            <a:endParaRPr lang="en-US" altLang="ko-KR" sz="1100"/>
          </a:p>
          <a:p>
            <a:r>
              <a:rPr lang="en-US" altLang="ko-KR" sz="1100"/>
              <a:t>Pop-up</a:t>
            </a:r>
            <a:r>
              <a:rPr lang="ko-KR" altLang="en-US" sz="1100"/>
              <a:t>창이나 프로그램 화면에 </a:t>
            </a:r>
            <a:r>
              <a:rPr lang="en-US" altLang="ko-KR" sz="1100"/>
              <a:t>Retry </a:t>
            </a:r>
            <a:r>
              <a:rPr lang="ko-KR" altLang="en-US" sz="1100"/>
              <a:t>버튼을 추가</a:t>
            </a:r>
          </a:p>
        </xdr:txBody>
      </xdr:sp>
    </xdr:grpSp>
    <xdr:clientData/>
  </xdr:twoCellAnchor>
  <xdr:twoCellAnchor>
    <xdr:from>
      <xdr:col>3</xdr:col>
      <xdr:colOff>699408</xdr:colOff>
      <xdr:row>12</xdr:row>
      <xdr:rowOff>304805</xdr:rowOff>
    </xdr:from>
    <xdr:to>
      <xdr:col>3</xdr:col>
      <xdr:colOff>4155396</xdr:colOff>
      <xdr:row>12</xdr:row>
      <xdr:rowOff>2906489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pSpPr/>
      </xdr:nvGrpSpPr>
      <xdr:grpSpPr>
        <a:xfrm>
          <a:off x="9285515" y="22919876"/>
          <a:ext cx="3455988" cy="2601684"/>
          <a:chOff x="7413172" y="17732831"/>
          <a:chExt cx="3455988" cy="2601684"/>
        </a:xfrm>
      </xdr:grpSpPr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00000000-0008-0000-0700-00005A000000}"/>
              </a:ext>
            </a:extLst>
          </xdr:cNvPr>
          <xdr:cNvGrpSpPr/>
        </xdr:nvGrpSpPr>
        <xdr:grpSpPr>
          <a:xfrm>
            <a:off x="7413172" y="17732831"/>
            <a:ext cx="3455988" cy="2601684"/>
            <a:chOff x="692696" y="2248633"/>
            <a:chExt cx="3455988" cy="2231579"/>
          </a:xfrm>
        </xdr:grpSpPr>
        <xdr:sp macro="" textlink="">
          <xdr:nvSpPr>
            <xdr:cNvPr id="91" name="직사각형 90">
              <a:extLst>
                <a:ext uri="{FF2B5EF4-FFF2-40B4-BE49-F238E27FC236}">
                  <a16:creationId xmlns:a16="http://schemas.microsoft.com/office/drawing/2014/main" id="{00000000-0008-0000-0700-00005B000000}"/>
                </a:ext>
              </a:extLst>
            </xdr:cNvPr>
            <xdr:cNvSpPr/>
          </xdr:nvSpPr>
          <xdr:spPr bwMode="auto">
            <a:xfrm>
              <a:off x="692696" y="2248633"/>
              <a:ext cx="3455988" cy="2231579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9pPr>
            </a:lstStyle>
            <a:p>
              <a:pPr eaLnBrk="1" latinLnBrk="1" hangingPunct="1">
                <a:defRPr/>
              </a:pPr>
              <a:endParaRPr lang="ko-KR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92" name="직사각형 91">
              <a:extLst>
                <a:ext uri="{FF2B5EF4-FFF2-40B4-BE49-F238E27FC236}">
                  <a16:creationId xmlns:a16="http://schemas.microsoft.com/office/drawing/2014/main" id="{00000000-0008-0000-0700-00005C000000}"/>
                </a:ext>
              </a:extLst>
            </xdr:cNvPr>
            <xdr:cNvSpPr/>
          </xdr:nvSpPr>
          <xdr:spPr bwMode="auto">
            <a:xfrm>
              <a:off x="748259" y="2307372"/>
              <a:ext cx="3344862" cy="301625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 eaLnBrk="1" latinLnBrk="1" hangingPunct="1">
                <a:defRPr/>
              </a:pPr>
              <a:r>
                <a:rPr lang="en-US" altLang="ko-KR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Conversation</a:t>
              </a:r>
              <a:r>
                <a:rPr lang="en-US" altLang="ko-KR" baseline="0"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 Timeout !!</a:t>
              </a:r>
              <a:endParaRPr lang="ko-KR" altLang="ko-KR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93" name="TextBox 14">
              <a:extLst>
                <a:ext uri="{FF2B5EF4-FFF2-40B4-BE49-F238E27FC236}">
                  <a16:creationId xmlns:a16="http://schemas.microsoft.com/office/drawing/2014/main" id="{00000000-0008-0000-0700-00005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4467" y="2659797"/>
              <a:ext cx="3407228" cy="121349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kern="1200">
                  <a:solidFill>
                    <a:srgbClr val="FF0000"/>
                  </a:solidFill>
                  <a:latin typeface="Times New Roman" panose="02020603050405020304" pitchFamily="18" charset="0"/>
                  <a:ea typeface="굴림" panose="020B0600000101010101" pitchFamily="50" charset="-127"/>
                  <a:cs typeface="+mn-cs"/>
                </a:defRPr>
              </a:lvl9pPr>
            </a:lstStyle>
            <a:p>
              <a:pPr eaLnBrk="1" latinLnBrk="1" hangingPunct="1">
                <a:lnSpc>
                  <a:spcPct val="150000"/>
                </a:lnSpc>
              </a:pPr>
              <a:r>
                <a:rPr lang="en-US" altLang="ko-KR">
                  <a:solidFill>
                    <a:schemeClr val="tx1"/>
                  </a:solidFill>
                  <a:latin typeface="+mn-ea"/>
                  <a:ea typeface="+mn-ea"/>
                </a:rPr>
                <a:t>MES Command</a:t>
              </a:r>
              <a:r>
                <a:rPr lang="ko-KR" altLang="en-US">
                  <a:solidFill>
                    <a:schemeClr val="tx1"/>
                  </a:solidFill>
                  <a:latin typeface="+mn-ea"/>
                  <a:ea typeface="+mn-ea"/>
                </a:rPr>
                <a:t> </a:t>
              </a:r>
              <a:r>
                <a:rPr lang="en-US" altLang="ko-KR">
                  <a:solidFill>
                    <a:schemeClr val="tx1"/>
                  </a:solidFill>
                  <a:latin typeface="+mn-ea"/>
                  <a:ea typeface="+mn-ea"/>
                </a:rPr>
                <a:t>: </a:t>
              </a:r>
              <a:r>
                <a:rPr kumimoji="1" lang="en-US" altLang="ko-KR" sz="1000" b="0" kern="120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LGIT_TRAY_ID_CONFIRM</a:t>
              </a:r>
              <a:endParaRPr lang="en-US" altLang="ko-KR">
                <a:solidFill>
                  <a:schemeClr val="tx1"/>
                </a:solidFill>
                <a:latin typeface="+mn-ea"/>
                <a:ea typeface="+mn-ea"/>
              </a:endParaRPr>
            </a:p>
            <a:p>
              <a:pPr eaLnBrk="1" latinLnBrk="1" hangingPunct="1">
                <a:lnSpc>
                  <a:spcPct val="150000"/>
                </a:lnSpc>
              </a:pPr>
              <a:r>
                <a:rPr lang="en-US" altLang="ko-KR">
                  <a:solidFill>
                    <a:schemeClr val="tx1"/>
                  </a:solidFill>
                  <a:latin typeface="+mn-ea"/>
                  <a:ea typeface="+mn-ea"/>
                </a:rPr>
                <a:t>Message : MES</a:t>
              </a:r>
              <a:r>
                <a:rPr lang="ko-KR" altLang="en-US">
                  <a:solidFill>
                    <a:schemeClr val="tx1"/>
                  </a:solidFill>
                  <a:latin typeface="+mn-ea"/>
                  <a:ea typeface="+mn-ea"/>
                </a:rPr>
                <a:t>에서</a:t>
              </a:r>
              <a:r>
                <a:rPr lang="en-US" altLang="ko-KR" baseline="0">
                  <a:solidFill>
                    <a:schemeClr val="tx1"/>
                  </a:solidFill>
                  <a:latin typeface="+mn-ea"/>
                  <a:ea typeface="+mn-ea"/>
                </a:rPr>
                <a:t> </a:t>
              </a:r>
              <a:r>
                <a:rPr lang="ko-KR" altLang="en-US" baseline="0">
                  <a:solidFill>
                    <a:schemeClr val="tx1"/>
                  </a:solidFill>
                  <a:latin typeface="+mn-ea"/>
                  <a:ea typeface="+mn-ea"/>
                </a:rPr>
                <a:t>해당 </a:t>
              </a:r>
              <a:r>
                <a:rPr lang="en-US" altLang="ko-KR" baseline="0">
                  <a:solidFill>
                    <a:schemeClr val="tx1"/>
                  </a:solidFill>
                  <a:latin typeface="+mn-ea"/>
                  <a:ea typeface="+mn-ea"/>
                </a:rPr>
                <a:t>Command</a:t>
              </a:r>
              <a:r>
                <a:rPr lang="ko-KR" altLang="en-US" baseline="0">
                  <a:solidFill>
                    <a:schemeClr val="tx1"/>
                  </a:solidFill>
                  <a:latin typeface="+mn-ea"/>
                  <a:ea typeface="+mn-ea"/>
                </a:rPr>
                <a:t>가 수신되지 않았습니다</a:t>
              </a:r>
              <a:r>
                <a:rPr lang="en-US" altLang="ko-KR" baseline="0">
                  <a:solidFill>
                    <a:schemeClr val="tx1"/>
                  </a:solidFill>
                  <a:latin typeface="+mn-ea"/>
                  <a:ea typeface="+mn-ea"/>
                </a:rPr>
                <a:t>.</a:t>
              </a:r>
            </a:p>
          </xdr:txBody>
        </xdr:sp>
      </xdr:grp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700-00005E000000}"/>
              </a:ext>
            </a:extLst>
          </xdr:cNvPr>
          <xdr:cNvSpPr/>
        </xdr:nvSpPr>
        <xdr:spPr bwMode="auto">
          <a:xfrm>
            <a:off x="10048085" y="19822888"/>
            <a:ext cx="692851" cy="35718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en-US" altLang="ko-KR" sz="1200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CLOSE</a:t>
            </a:r>
            <a:endParaRPr lang="ko-KR" altLang="en-US" sz="12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700-00005F000000}"/>
              </a:ext>
            </a:extLst>
          </xdr:cNvPr>
          <xdr:cNvSpPr/>
        </xdr:nvSpPr>
        <xdr:spPr bwMode="auto">
          <a:xfrm>
            <a:off x="9307286" y="19828672"/>
            <a:ext cx="683262" cy="35718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kern="1200">
                <a:solidFill>
                  <a:srgbClr val="FF0000"/>
                </a:solidFill>
                <a:latin typeface="Times New Roman" panose="02020603050405020304" pitchFamily="18" charset="0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en-US" altLang="ko-KR" sz="1200"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RETRY</a:t>
            </a:r>
            <a:endParaRPr lang="ko-KR" altLang="en-US" sz="12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3</xdr:col>
      <xdr:colOff>130629</xdr:colOff>
      <xdr:row>8</xdr:row>
      <xdr:rowOff>217716</xdr:rowOff>
    </xdr:from>
    <xdr:to>
      <xdr:col>3</xdr:col>
      <xdr:colOff>4724400</xdr:colOff>
      <xdr:row>8</xdr:row>
      <xdr:rowOff>3624945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8716736" y="7878537"/>
          <a:ext cx="4593771" cy="3407229"/>
          <a:chOff x="7391400" y="7391400"/>
          <a:chExt cx="6000750" cy="3175367"/>
        </a:xfrm>
      </xdr:grpSpPr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700-000097000000}"/>
              </a:ext>
            </a:extLst>
          </xdr:cNvPr>
          <xdr:cNvSpPr>
            <a:spLocks noChangeArrowheads="1"/>
          </xdr:cNvSpPr>
        </xdr:nvSpPr>
        <xdr:spPr bwMode="auto">
          <a:xfrm>
            <a:off x="7391400" y="7391400"/>
            <a:ext cx="6000750" cy="3175367"/>
          </a:xfrm>
          <a:prstGeom prst="rect">
            <a:avLst/>
          </a:prstGeom>
          <a:noFill/>
          <a:ln w="12700" algn="ctr">
            <a:solidFill>
              <a:srgbClr val="000000"/>
            </a:solidFill>
            <a:round/>
            <a:headEnd type="stealth" w="med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endParaRPr lang="ko-KR" altLang="en-US" sz="12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00000000-0008-0000-0700-000098000000}"/>
              </a:ext>
            </a:extLst>
          </xdr:cNvPr>
          <xdr:cNvSpPr/>
        </xdr:nvSpPr>
        <xdr:spPr bwMode="auto">
          <a:xfrm>
            <a:off x="7391400" y="7391400"/>
            <a:ext cx="6000750" cy="336550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Host 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알림 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Message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3" name="직사각형 152">
            <a:extLst>
              <a:ext uri="{FF2B5EF4-FFF2-40B4-BE49-F238E27FC236}">
                <a16:creationId xmlns:a16="http://schemas.microsoft.com/office/drawing/2014/main" id="{00000000-0008-0000-0700-000099000000}"/>
              </a:ext>
            </a:extLst>
          </xdr:cNvPr>
          <xdr:cNvSpPr/>
        </xdr:nvSpPr>
        <xdr:spPr bwMode="auto">
          <a:xfrm>
            <a:off x="7505159" y="7817487"/>
            <a:ext cx="568792" cy="35507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 anchorCtr="1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No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700-00009A000000}"/>
              </a:ext>
            </a:extLst>
          </xdr:cNvPr>
          <xdr:cNvSpPr/>
        </xdr:nvSpPr>
        <xdr:spPr bwMode="auto">
          <a:xfrm>
            <a:off x="9736989" y="10120392"/>
            <a:ext cx="1308895" cy="332825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맑은 고딕" panose="020B0503020000020004" pitchFamily="50" charset="-127"/>
                <a:ea typeface="맑은 고딕" panose="020B0503020000020004" pitchFamily="50" charset="-127"/>
              </a:rPr>
              <a:t>확인</a:t>
            </a:r>
          </a:p>
        </xdr:txBody>
      </xdr:sp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00000000-0008-0000-0700-00009B000000}"/>
              </a:ext>
            </a:extLst>
          </xdr:cNvPr>
          <xdr:cNvSpPr>
            <a:spLocks noChangeArrowheads="1"/>
          </xdr:cNvSpPr>
        </xdr:nvSpPr>
        <xdr:spPr bwMode="auto">
          <a:xfrm>
            <a:off x="7505159" y="8177286"/>
            <a:ext cx="568792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1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6" name="직사각형 155">
            <a:extLst>
              <a:ext uri="{FF2B5EF4-FFF2-40B4-BE49-F238E27FC236}">
                <a16:creationId xmlns:a16="http://schemas.microsoft.com/office/drawing/2014/main" id="{00000000-0008-0000-0700-00009C000000}"/>
              </a:ext>
            </a:extLst>
          </xdr:cNvPr>
          <xdr:cNvSpPr/>
        </xdr:nvSpPr>
        <xdr:spPr bwMode="auto">
          <a:xfrm>
            <a:off x="8073952" y="7817487"/>
            <a:ext cx="961336" cy="35507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 anchorCtr="1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Terminal ID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700-00009D000000}"/>
              </a:ext>
            </a:extLst>
          </xdr:cNvPr>
          <xdr:cNvSpPr>
            <a:spLocks noChangeArrowheads="1"/>
          </xdr:cNvSpPr>
        </xdr:nvSpPr>
        <xdr:spPr bwMode="auto">
          <a:xfrm>
            <a:off x="7505159" y="8513762"/>
            <a:ext cx="568792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8" name="직사각형 157">
            <a:extLst>
              <a:ext uri="{FF2B5EF4-FFF2-40B4-BE49-F238E27FC236}">
                <a16:creationId xmlns:a16="http://schemas.microsoft.com/office/drawing/2014/main" id="{00000000-0008-0000-07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7505159" y="8860384"/>
            <a:ext cx="568792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3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00000000-0008-0000-07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7505159" y="9217151"/>
            <a:ext cx="568792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4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700-0000A0000000}"/>
              </a:ext>
            </a:extLst>
          </xdr:cNvPr>
          <xdr:cNvSpPr>
            <a:spLocks noChangeArrowheads="1"/>
          </xdr:cNvSpPr>
        </xdr:nvSpPr>
        <xdr:spPr bwMode="auto">
          <a:xfrm>
            <a:off x="7505159" y="9573916"/>
            <a:ext cx="568792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5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1" name="직사각형 160">
            <a:extLst>
              <a:ext uri="{FF2B5EF4-FFF2-40B4-BE49-F238E27FC236}">
                <a16:creationId xmlns:a16="http://schemas.microsoft.com/office/drawing/2014/main" id="{00000000-0008-0000-0700-0000A1000000}"/>
              </a:ext>
            </a:extLst>
          </xdr:cNvPr>
          <xdr:cNvSpPr/>
        </xdr:nvSpPr>
        <xdr:spPr bwMode="auto">
          <a:xfrm>
            <a:off x="9040894" y="7817487"/>
            <a:ext cx="1179228" cy="35507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 anchorCtr="1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받은 시간</a:t>
            </a:r>
          </a:p>
        </xdr:txBody>
      </xdr:sp>
      <xdr:sp macro="" textlink="">
        <xdr:nvSpPr>
          <xdr:cNvPr id="162" name="직사각형 161">
            <a:extLst>
              <a:ext uri="{FF2B5EF4-FFF2-40B4-BE49-F238E27FC236}">
                <a16:creationId xmlns:a16="http://schemas.microsoft.com/office/drawing/2014/main" id="{00000000-0008-0000-0700-0000A2000000}"/>
              </a:ext>
            </a:extLst>
          </xdr:cNvPr>
          <xdr:cNvSpPr/>
        </xdr:nvSpPr>
        <xdr:spPr bwMode="auto">
          <a:xfrm>
            <a:off x="10220123" y="7817487"/>
            <a:ext cx="3071813" cy="355077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 anchorCtr="1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메세지</a:t>
            </a:r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700-0000A3000000}"/>
              </a:ext>
            </a:extLst>
          </xdr:cNvPr>
          <xdr:cNvSpPr>
            <a:spLocks noChangeArrowheads="1"/>
          </xdr:cNvSpPr>
        </xdr:nvSpPr>
        <xdr:spPr bwMode="auto">
          <a:xfrm>
            <a:off x="8078009" y="8177286"/>
            <a:ext cx="962886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00000000-0008-0000-0700-0000A4000000}"/>
              </a:ext>
            </a:extLst>
          </xdr:cNvPr>
          <xdr:cNvSpPr>
            <a:spLocks noChangeArrowheads="1"/>
          </xdr:cNvSpPr>
        </xdr:nvSpPr>
        <xdr:spPr bwMode="auto">
          <a:xfrm>
            <a:off x="8078015" y="8513762"/>
            <a:ext cx="962886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00000000-0008-0000-0700-0000A5000000}"/>
              </a:ext>
            </a:extLst>
          </xdr:cNvPr>
          <xdr:cNvSpPr>
            <a:spLocks noChangeArrowheads="1"/>
          </xdr:cNvSpPr>
        </xdr:nvSpPr>
        <xdr:spPr bwMode="auto">
          <a:xfrm>
            <a:off x="8078007" y="8860384"/>
            <a:ext cx="962886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700-0000A6000000}"/>
              </a:ext>
            </a:extLst>
          </xdr:cNvPr>
          <xdr:cNvSpPr>
            <a:spLocks noChangeArrowheads="1"/>
          </xdr:cNvSpPr>
        </xdr:nvSpPr>
        <xdr:spPr bwMode="auto">
          <a:xfrm>
            <a:off x="8078007" y="9217151"/>
            <a:ext cx="962886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00000000-0008-0000-0700-0000A7000000}"/>
              </a:ext>
            </a:extLst>
          </xdr:cNvPr>
          <xdr:cNvSpPr>
            <a:spLocks noChangeArrowheads="1"/>
          </xdr:cNvSpPr>
        </xdr:nvSpPr>
        <xdr:spPr bwMode="auto">
          <a:xfrm>
            <a:off x="8078007" y="9573916"/>
            <a:ext cx="962886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8" name="직사각형 167">
            <a:extLst>
              <a:ext uri="{FF2B5EF4-FFF2-40B4-BE49-F238E27FC236}">
                <a16:creationId xmlns:a16="http://schemas.microsoft.com/office/drawing/2014/main" id="{00000000-0008-0000-0700-0000A8000000}"/>
              </a:ext>
            </a:extLst>
          </xdr:cNvPr>
          <xdr:cNvSpPr>
            <a:spLocks noChangeArrowheads="1"/>
          </xdr:cNvSpPr>
        </xdr:nvSpPr>
        <xdr:spPr bwMode="auto">
          <a:xfrm>
            <a:off x="9040894" y="8177286"/>
            <a:ext cx="1179228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2011/02/10 14:20:10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700-0000A9000000}"/>
              </a:ext>
            </a:extLst>
          </xdr:cNvPr>
          <xdr:cNvSpPr>
            <a:spLocks noChangeArrowheads="1"/>
          </xdr:cNvSpPr>
        </xdr:nvSpPr>
        <xdr:spPr bwMode="auto">
          <a:xfrm>
            <a:off x="9040894" y="8513762"/>
            <a:ext cx="1179228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2011/02/09 15:50:10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0" name="직사각형 169">
            <a:extLst>
              <a:ext uri="{FF2B5EF4-FFF2-40B4-BE49-F238E27FC236}">
                <a16:creationId xmlns:a16="http://schemas.microsoft.com/office/drawing/2014/main" id="{00000000-0008-0000-0700-0000AA000000}"/>
              </a:ext>
            </a:extLst>
          </xdr:cNvPr>
          <xdr:cNvSpPr>
            <a:spLocks noChangeArrowheads="1"/>
          </xdr:cNvSpPr>
        </xdr:nvSpPr>
        <xdr:spPr bwMode="auto">
          <a:xfrm>
            <a:off x="9040894" y="8860384"/>
            <a:ext cx="1179228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2011/02/09 01:11:25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1" name="직사각형 170">
            <a:extLst>
              <a:ext uri="{FF2B5EF4-FFF2-40B4-BE49-F238E27FC236}">
                <a16:creationId xmlns:a16="http://schemas.microsoft.com/office/drawing/2014/main" id="{00000000-0008-0000-0700-0000AB000000}"/>
              </a:ext>
            </a:extLst>
          </xdr:cNvPr>
          <xdr:cNvSpPr>
            <a:spLocks noChangeArrowheads="1"/>
          </xdr:cNvSpPr>
        </xdr:nvSpPr>
        <xdr:spPr bwMode="auto">
          <a:xfrm>
            <a:off x="9040894" y="9217151"/>
            <a:ext cx="1179228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2011/02/08 20:42:01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700-0000AC000000}"/>
              </a:ext>
            </a:extLst>
          </xdr:cNvPr>
          <xdr:cNvSpPr>
            <a:spLocks noChangeArrowheads="1"/>
          </xdr:cNvSpPr>
        </xdr:nvSpPr>
        <xdr:spPr bwMode="auto">
          <a:xfrm>
            <a:off x="9040894" y="9573916"/>
            <a:ext cx="1179228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2011/02/06 08:55:33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3" name="직사각형 172">
            <a:extLst>
              <a:ext uri="{FF2B5EF4-FFF2-40B4-BE49-F238E27FC236}">
                <a16:creationId xmlns:a16="http://schemas.microsoft.com/office/drawing/2014/main" id="{00000000-0008-0000-0700-0000AD000000}"/>
              </a:ext>
            </a:extLst>
          </xdr:cNvPr>
          <xdr:cNvSpPr>
            <a:spLocks noChangeArrowheads="1"/>
          </xdr:cNvSpPr>
        </xdr:nvSpPr>
        <xdr:spPr bwMode="auto">
          <a:xfrm>
            <a:off x="10220123" y="8177286"/>
            <a:ext cx="3071813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등록되지 않은 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MGZ ID 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입니다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.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4" name="직사각형 173">
            <a:extLst>
              <a:ext uri="{FF2B5EF4-FFF2-40B4-BE49-F238E27FC236}">
                <a16:creationId xmlns:a16="http://schemas.microsoft.com/office/drawing/2014/main" id="{00000000-0008-0000-0700-0000AE000000}"/>
              </a:ext>
            </a:extLst>
          </xdr:cNvPr>
          <xdr:cNvSpPr>
            <a:spLocks noChangeArrowheads="1"/>
          </xdr:cNvSpPr>
        </xdr:nvSpPr>
        <xdr:spPr bwMode="auto">
          <a:xfrm>
            <a:off x="10220123" y="8513762"/>
            <a:ext cx="3071813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Host Online Completed!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700-0000AF000000}"/>
              </a:ext>
            </a:extLst>
          </xdr:cNvPr>
          <xdr:cNvSpPr>
            <a:spLocks noChangeArrowheads="1"/>
          </xdr:cNvSpPr>
        </xdr:nvSpPr>
        <xdr:spPr bwMode="auto">
          <a:xfrm>
            <a:off x="10220123" y="8860384"/>
            <a:ext cx="3071813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Rank Type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이 맞지 않습니다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. 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6" name="직사각형 175">
            <a:extLst>
              <a:ext uri="{FF2B5EF4-FFF2-40B4-BE49-F238E27FC236}">
                <a16:creationId xmlns:a16="http://schemas.microsoft.com/office/drawing/2014/main" id="{00000000-0008-0000-0700-0000B0000000}"/>
              </a:ext>
            </a:extLst>
          </xdr:cNvPr>
          <xdr:cNvSpPr>
            <a:spLocks noChangeArrowheads="1"/>
          </xdr:cNvSpPr>
        </xdr:nvSpPr>
        <xdr:spPr bwMode="auto">
          <a:xfrm>
            <a:off x="10220123" y="9217151"/>
            <a:ext cx="3071813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Recipe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 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ID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가 등록되지 않았습니다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.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7" name="직사각형 176">
            <a:extLst>
              <a:ext uri="{FF2B5EF4-FFF2-40B4-BE49-F238E27FC236}">
                <a16:creationId xmlns:a16="http://schemas.microsoft.com/office/drawing/2014/main" id="{00000000-0008-0000-0700-0000B1000000}"/>
              </a:ext>
            </a:extLst>
          </xdr:cNvPr>
          <xdr:cNvSpPr>
            <a:spLocks noChangeArrowheads="1"/>
          </xdr:cNvSpPr>
        </xdr:nvSpPr>
        <xdr:spPr bwMode="auto">
          <a:xfrm>
            <a:off x="10220123" y="9573916"/>
            <a:ext cx="3071813" cy="353360"/>
          </a:xfrm>
          <a:prstGeom prst="rect">
            <a:avLst/>
          </a:prstGeom>
          <a:solidFill>
            <a:schemeClr val="bg1"/>
          </a:solidFill>
          <a:ln w="12700" algn="ctr">
            <a:solidFill>
              <a:srgbClr val="000000"/>
            </a:solidFill>
            <a:round/>
            <a:headEnd type="stealth" w="med" len="med"/>
            <a:tailEnd/>
          </a:ln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Host Cancel </a:t>
            </a:r>
            <a:r>
              <a: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되었습니다</a:t>
            </a:r>
            <a:r>
              <a:rPr lang="en-US" altLang="ko-KR" sz="1000">
                <a:latin typeface="맑은 고딕" panose="020B0503020000020004" pitchFamily="50" charset="-127"/>
                <a:ea typeface="맑은 고딕" panose="020B0503020000020004" pitchFamily="50" charset="-127"/>
              </a:rPr>
              <a:t>.</a:t>
            </a:r>
            <a:endParaRPr lang="ko-KR" altLang="en-US" sz="1000"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3</xdr:col>
      <xdr:colOff>1832418</xdr:colOff>
      <xdr:row>8</xdr:row>
      <xdr:rowOff>3058887</xdr:rowOff>
    </xdr:from>
    <xdr:to>
      <xdr:col>3</xdr:col>
      <xdr:colOff>3004457</xdr:colOff>
      <xdr:row>8</xdr:row>
      <xdr:rowOff>3559630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9223818" y="10450287"/>
          <a:ext cx="1172039" cy="500743"/>
        </a:xfrm>
        <a:prstGeom prst="rect">
          <a:avLst/>
        </a:prstGeom>
        <a:noFill/>
        <a:ln w="38100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6295928</xdr:colOff>
      <xdr:row>8</xdr:row>
      <xdr:rowOff>3087709</xdr:rowOff>
    </xdr:from>
    <xdr:to>
      <xdr:col>3</xdr:col>
      <xdr:colOff>1832418</xdr:colOff>
      <xdr:row>8</xdr:row>
      <xdr:rowOff>3309259</xdr:rowOff>
    </xdr:to>
    <xdr:cxnSp macro="">
      <xdr:nvCxnSpPr>
        <xdr:cNvPr id="225" name="직선 화살표 연결선 224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CxnSpPr>
          <a:stCxn id="224" idx="1"/>
          <a:endCxn id="226" idx="3"/>
        </xdr:cNvCxnSpPr>
      </xdr:nvCxnSpPr>
      <xdr:spPr>
        <a:xfrm flipH="1" flipV="1">
          <a:off x="7134128" y="8269309"/>
          <a:ext cx="2089690" cy="2215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1621972</xdr:colOff>
      <xdr:row>8</xdr:row>
      <xdr:rowOff>2797629</xdr:rowOff>
    </xdr:from>
    <xdr:to>
      <xdr:col>2</xdr:col>
      <xdr:colOff>6295928</xdr:colOff>
      <xdr:row>8</xdr:row>
      <xdr:rowOff>3377788</xdr:rowOff>
    </xdr:to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 txBox="1"/>
      </xdr:nvSpPr>
      <xdr:spPr>
        <a:xfrm>
          <a:off x="2460172" y="7979229"/>
          <a:ext cx="4673956" cy="580159"/>
        </a:xfrm>
        <a:prstGeom prst="rect">
          <a:avLst/>
        </a:prstGeom>
        <a:solidFill>
          <a:srgbClr val="FFC0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/>
            <a:t>확인 버튼을 누르면 </a:t>
          </a:r>
          <a:r>
            <a:rPr lang="en-US" altLang="ko-KR" sz="1100"/>
            <a:t>Pop-Up </a:t>
          </a:r>
          <a:r>
            <a:rPr lang="ko-KR" altLang="en-US" sz="1100"/>
            <a:t>창은 사라지며 </a:t>
          </a:r>
          <a:r>
            <a:rPr lang="en-US" altLang="ko-KR" sz="1100"/>
            <a:t>Display </a:t>
          </a:r>
          <a:r>
            <a:rPr lang="ko-KR" altLang="en-US" sz="1100"/>
            <a:t>된 </a:t>
          </a:r>
          <a:r>
            <a:rPr lang="en-US" altLang="ko-KR" sz="1100"/>
            <a:t>Message</a:t>
          </a:r>
          <a:r>
            <a:rPr lang="ko-KR" altLang="en-US" sz="1100"/>
            <a:t>는 </a:t>
          </a:r>
          <a:r>
            <a:rPr lang="en-US" altLang="ko-KR" sz="1100"/>
            <a:t>Clear </a:t>
          </a:r>
          <a:r>
            <a:rPr lang="ko-KR" altLang="en-US" sz="1100"/>
            <a:t>되고</a:t>
          </a:r>
          <a:endParaRPr lang="en-US" altLang="ko-KR" sz="1100"/>
        </a:p>
        <a:p>
          <a:r>
            <a:rPr lang="en-US" altLang="ko-KR" sz="1100"/>
            <a:t>Host</a:t>
          </a:r>
          <a:r>
            <a:rPr lang="ko-KR" altLang="en-US" sz="1100"/>
            <a:t>로 </a:t>
          </a:r>
          <a:r>
            <a:rPr lang="en-US" altLang="ko-KR" sz="1100"/>
            <a:t>Terminal Message Recognition </a:t>
          </a:r>
          <a:r>
            <a:rPr lang="ko-KR" altLang="en-US" sz="1100"/>
            <a:t>보고 한다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3</xdr:col>
      <xdr:colOff>108857</xdr:colOff>
      <xdr:row>9</xdr:row>
      <xdr:rowOff>206827</xdr:rowOff>
    </xdr:from>
    <xdr:to>
      <xdr:col>3</xdr:col>
      <xdr:colOff>4724400</xdr:colOff>
      <xdr:row>9</xdr:row>
      <xdr:rowOff>3973285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pSpPr/>
      </xdr:nvGrpSpPr>
      <xdr:grpSpPr>
        <a:xfrm>
          <a:off x="8694964" y="11691256"/>
          <a:ext cx="4615543" cy="3766458"/>
          <a:chOff x="7500257" y="11419113"/>
          <a:chExt cx="4615543" cy="3766458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GrpSpPr/>
        </xdr:nvGrpSpPr>
        <xdr:grpSpPr>
          <a:xfrm>
            <a:off x="7500257" y="11419113"/>
            <a:ext cx="4615543" cy="3766458"/>
            <a:chOff x="7391400" y="11212285"/>
            <a:chExt cx="6002338" cy="3766458"/>
          </a:xfrm>
        </xdr:grpSpPr>
        <xdr:sp macro="" textlink="">
          <xdr:nvSpPr>
            <xdr:cNvPr id="201" name="직사각형 200">
              <a:extLst>
                <a:ext uri="{FF2B5EF4-FFF2-40B4-BE49-F238E27FC236}">
                  <a16:creationId xmlns:a16="http://schemas.microsoft.com/office/drawing/2014/main" id="{00000000-0008-0000-0700-0000C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91400" y="11212285"/>
              <a:ext cx="6002337" cy="3766458"/>
            </a:xfrm>
            <a:prstGeom prst="rect">
              <a:avLst/>
            </a:prstGeom>
            <a:noFill/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endParaRPr lang="ko-KR" altLang="en-US" sz="12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2" name="직사각형 201">
              <a:extLst>
                <a:ext uri="{FF2B5EF4-FFF2-40B4-BE49-F238E27FC236}">
                  <a16:creationId xmlns:a16="http://schemas.microsoft.com/office/drawing/2014/main" id="{00000000-0008-0000-0700-0000CA000000}"/>
                </a:ext>
              </a:extLst>
            </xdr:cNvPr>
            <xdr:cNvSpPr/>
          </xdr:nvSpPr>
          <xdr:spPr bwMode="auto">
            <a:xfrm>
              <a:off x="7391400" y="11212286"/>
              <a:ext cx="6002338" cy="3556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Terminal Message History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3" name="직사각형 202">
              <a:extLst>
                <a:ext uri="{FF2B5EF4-FFF2-40B4-BE49-F238E27FC236}">
                  <a16:creationId xmlns:a16="http://schemas.microsoft.com/office/drawing/2014/main" id="{00000000-0008-0000-0700-0000CB000000}"/>
                </a:ext>
              </a:extLst>
            </xdr:cNvPr>
            <xdr:cNvSpPr/>
          </xdr:nvSpPr>
          <xdr:spPr bwMode="auto">
            <a:xfrm>
              <a:off x="7520774" y="11731399"/>
              <a:ext cx="479355" cy="42862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 anchorCtr="1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No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4" name="직사각형 203">
              <a:extLst>
                <a:ext uri="{FF2B5EF4-FFF2-40B4-BE49-F238E27FC236}">
                  <a16:creationId xmlns:a16="http://schemas.microsoft.com/office/drawing/2014/main" id="{00000000-0008-0000-0700-0000C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20774" y="12160024"/>
              <a:ext cx="47935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5" name="직사각형 204">
              <a:extLst>
                <a:ext uri="{FF2B5EF4-FFF2-40B4-BE49-F238E27FC236}">
                  <a16:creationId xmlns:a16="http://schemas.microsoft.com/office/drawing/2014/main" id="{00000000-0008-0000-0700-0000CD000000}"/>
                </a:ext>
              </a:extLst>
            </xdr:cNvPr>
            <xdr:cNvSpPr/>
          </xdr:nvSpPr>
          <xdr:spPr bwMode="auto">
            <a:xfrm>
              <a:off x="8000127" y="11731399"/>
              <a:ext cx="935240" cy="42862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 anchorCtr="1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Terminal ID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6" name="직사각형 205">
              <a:extLst>
                <a:ext uri="{FF2B5EF4-FFF2-40B4-BE49-F238E27FC236}">
                  <a16:creationId xmlns:a16="http://schemas.microsoft.com/office/drawing/2014/main" id="{00000000-0008-0000-07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20774" y="12565517"/>
              <a:ext cx="47935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7" name="직사각형 206">
              <a:extLst>
                <a:ext uri="{FF2B5EF4-FFF2-40B4-BE49-F238E27FC236}">
                  <a16:creationId xmlns:a16="http://schemas.microsoft.com/office/drawing/2014/main" id="{00000000-0008-0000-0700-0000C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20774" y="13481049"/>
              <a:ext cx="47935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29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8" name="직사각형 207">
              <a:extLst>
                <a:ext uri="{FF2B5EF4-FFF2-40B4-BE49-F238E27FC236}">
                  <a16:creationId xmlns:a16="http://schemas.microsoft.com/office/drawing/2014/main" id="{00000000-0008-0000-07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20774" y="13886544"/>
              <a:ext cx="47935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30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09" name="직사각형 208">
              <a:extLst>
                <a:ext uri="{FF2B5EF4-FFF2-40B4-BE49-F238E27FC236}">
                  <a16:creationId xmlns:a16="http://schemas.microsoft.com/office/drawing/2014/main" id="{00000000-0008-0000-0700-0000D1000000}"/>
                </a:ext>
              </a:extLst>
            </xdr:cNvPr>
            <xdr:cNvSpPr/>
          </xdr:nvSpPr>
          <xdr:spPr bwMode="auto">
            <a:xfrm>
              <a:off x="8935366" y="11731399"/>
              <a:ext cx="1159916" cy="42862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 anchorCtr="1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받은 시간</a:t>
              </a:r>
            </a:p>
          </xdr:txBody>
        </xdr:sp>
        <xdr:sp macro="" textlink="">
          <xdr:nvSpPr>
            <xdr:cNvPr id="210" name="직사각형 209">
              <a:extLst>
                <a:ext uri="{FF2B5EF4-FFF2-40B4-BE49-F238E27FC236}">
                  <a16:creationId xmlns:a16="http://schemas.microsoft.com/office/drawing/2014/main" id="{00000000-0008-0000-0700-0000D2000000}"/>
                </a:ext>
              </a:extLst>
            </xdr:cNvPr>
            <xdr:cNvSpPr/>
          </xdr:nvSpPr>
          <xdr:spPr bwMode="auto">
            <a:xfrm>
              <a:off x="10095284" y="11731399"/>
              <a:ext cx="3198049" cy="428625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wrap="square" lIns="92075" tIns="46038" rIns="92075" bIns="46038" anchor="ctr" anchorCtr="1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메세지</a:t>
              </a:r>
            </a:p>
          </xdr:txBody>
        </xdr:sp>
        <xdr:sp macro="" textlink="">
          <xdr:nvSpPr>
            <xdr:cNvPr id="211" name="직사각형 210">
              <a:extLst>
                <a:ext uri="{FF2B5EF4-FFF2-40B4-BE49-F238E27FC236}">
                  <a16:creationId xmlns:a16="http://schemas.microsoft.com/office/drawing/2014/main" id="{00000000-0008-0000-07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00127" y="12160024"/>
              <a:ext cx="935240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2" name="직사각형 211">
              <a:extLst>
                <a:ext uri="{FF2B5EF4-FFF2-40B4-BE49-F238E27FC236}">
                  <a16:creationId xmlns:a16="http://schemas.microsoft.com/office/drawing/2014/main" id="{00000000-0008-0000-0700-0000D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00127" y="12565517"/>
              <a:ext cx="935240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3" name="직사각형 212">
              <a:extLst>
                <a:ext uri="{FF2B5EF4-FFF2-40B4-BE49-F238E27FC236}">
                  <a16:creationId xmlns:a16="http://schemas.microsoft.com/office/drawing/2014/main" id="{00000000-0008-0000-0700-0000D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00127" y="13481049"/>
              <a:ext cx="935240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4" name="직사각형 213">
              <a:extLst>
                <a:ext uri="{FF2B5EF4-FFF2-40B4-BE49-F238E27FC236}">
                  <a16:creationId xmlns:a16="http://schemas.microsoft.com/office/drawing/2014/main" id="{00000000-0008-0000-07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00127" y="13886544"/>
              <a:ext cx="935240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5" name="직사각형 214">
              <a:extLst>
                <a:ext uri="{FF2B5EF4-FFF2-40B4-BE49-F238E27FC236}">
                  <a16:creationId xmlns:a16="http://schemas.microsoft.com/office/drawing/2014/main" id="{00000000-0008-0000-0700-0000D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35364" y="12160024"/>
              <a:ext cx="1159914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2011/02/10 14:20:10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6" name="직사각형 215">
              <a:extLst>
                <a:ext uri="{FF2B5EF4-FFF2-40B4-BE49-F238E27FC236}">
                  <a16:creationId xmlns:a16="http://schemas.microsoft.com/office/drawing/2014/main" id="{00000000-0008-0000-0700-0000D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35364" y="12565517"/>
              <a:ext cx="1159914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2011/02/09 15:50:10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7" name="직사각형 216">
              <a:extLst>
                <a:ext uri="{FF2B5EF4-FFF2-40B4-BE49-F238E27FC236}">
                  <a16:creationId xmlns:a16="http://schemas.microsoft.com/office/drawing/2014/main" id="{00000000-0008-0000-07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35364" y="13481049"/>
              <a:ext cx="115991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2011/01/08 20:42:01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8" name="직사각형 217">
              <a:extLst>
                <a:ext uri="{FF2B5EF4-FFF2-40B4-BE49-F238E27FC236}">
                  <a16:creationId xmlns:a16="http://schemas.microsoft.com/office/drawing/2014/main" id="{00000000-0008-0000-0700-0000D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35364" y="13886544"/>
              <a:ext cx="1159915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2011/01/06 08:55:33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9" name="직사각형 218">
              <a:extLst>
                <a:ext uri="{FF2B5EF4-FFF2-40B4-BE49-F238E27FC236}">
                  <a16:creationId xmlns:a16="http://schemas.microsoft.com/office/drawing/2014/main" id="{00000000-0008-0000-0700-0000D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5284" y="12160024"/>
              <a:ext cx="3198049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등록되지 않은 </a:t>
              </a: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MGZ ID </a:t>
              </a:r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입니다</a:t>
              </a: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.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20" name="직사각형 219">
              <a:extLst>
                <a:ext uri="{FF2B5EF4-FFF2-40B4-BE49-F238E27FC236}">
                  <a16:creationId xmlns:a16="http://schemas.microsoft.com/office/drawing/2014/main" id="{00000000-0008-0000-0700-0000D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5284" y="12565517"/>
              <a:ext cx="3198049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Host Online Completed!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21" name="직사각형 220">
              <a:extLst>
                <a:ext uri="{FF2B5EF4-FFF2-40B4-BE49-F238E27FC236}">
                  <a16:creationId xmlns:a16="http://schemas.microsoft.com/office/drawing/2014/main" id="{00000000-0008-0000-0700-0000D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5284" y="13481049"/>
              <a:ext cx="3198049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Rank Version</a:t>
              </a:r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이 맞지 않습니다</a:t>
              </a: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.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22" name="직사각형 221">
              <a:extLst>
                <a:ext uri="{FF2B5EF4-FFF2-40B4-BE49-F238E27FC236}">
                  <a16:creationId xmlns:a16="http://schemas.microsoft.com/office/drawing/2014/main" id="{00000000-0008-0000-0700-0000D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5284" y="13886544"/>
              <a:ext cx="3198049" cy="406400"/>
            </a:xfrm>
            <a:prstGeom prst="rect">
              <a:avLst/>
            </a:prstGeom>
            <a:solidFill>
              <a:schemeClr val="bg1"/>
            </a:solidFill>
            <a:ln w="12700" algn="ctr">
              <a:solidFill>
                <a:srgbClr val="000000"/>
              </a:solidFill>
              <a:round/>
              <a:headEnd type="stealth" w="med" len="med"/>
              <a:tailEnd/>
            </a:ln>
          </xdr:spPr>
          <xdr:txBody>
            <a:bodyPr wrap="square" lIns="92075" tIns="46038" rIns="92075" bIns="46038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Rank Type</a:t>
              </a:r>
              <a:r>
                <a:rPr lang="ko-KR" altLang="en-US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이 맞지 않습니다</a:t>
              </a:r>
              <a:r>
                <a:rPr lang="en-US" altLang="ko-KR" sz="1000">
                  <a:latin typeface="맑은 고딕" panose="020B0503020000020004" pitchFamily="50" charset="-127"/>
                  <a:ea typeface="맑은 고딕" panose="020B0503020000020004" pitchFamily="50" charset="-127"/>
                </a:rPr>
                <a:t>.</a:t>
              </a:r>
              <a:endParaRPr lang="ko-KR" altLang="en-US" sz="1000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23" name="Rectangle 374">
              <a:extLst>
                <a:ext uri="{FF2B5EF4-FFF2-40B4-BE49-F238E27FC236}">
                  <a16:creationId xmlns:a16="http://schemas.microsoft.com/office/drawing/2014/main" id="{00000000-0008-0000-0700-0000D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07665" y="13016814"/>
              <a:ext cx="615949" cy="50006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eaVert" wrap="square">
              <a:spAutoFit/>
            </a:bodyPr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r>
                <a:rPr lang="en-US" altLang="ko-KR" sz="2800">
                  <a:latin typeface="맑은 고딕" panose="020B0503020000020004" pitchFamily="50" charset="-127"/>
                  <a:ea typeface="맑은 고딕" panose="020B0503020000020004" pitchFamily="50" charset="-127"/>
                  <a:cs typeface="Arial" panose="020B0604020202020204" pitchFamily="34" charset="0"/>
                </a:rPr>
                <a:t>…</a:t>
              </a:r>
            </a:p>
          </xdr:txBody>
        </xdr:sp>
      </xdr:grpSp>
      <xdr:sp macro="" textlink="">
        <xdr:nvSpPr>
          <xdr:cNvPr id="255" name="직사각형 254">
            <a:extLst>
              <a:ext uri="{FF2B5EF4-FFF2-40B4-BE49-F238E27FC236}">
                <a16:creationId xmlns:a16="http://schemas.microsoft.com/office/drawing/2014/main" id="{00000000-0008-0000-0700-0000FF000000}"/>
              </a:ext>
            </a:extLst>
          </xdr:cNvPr>
          <xdr:cNvSpPr/>
        </xdr:nvSpPr>
        <xdr:spPr bwMode="auto">
          <a:xfrm>
            <a:off x="9296400" y="14663057"/>
            <a:ext cx="1002002" cy="357128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 cap="flat" cmpd="sng" algn="ctr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  <a:effectLst/>
        </xdr:spPr>
        <xdr:txBody>
          <a:bodyPr wrap="square" lIns="92075" tIns="46038" rIns="92075" bIns="46038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맑은 고딕" panose="020B0503020000020004" pitchFamily="50" charset="-127"/>
                <a:ea typeface="맑은 고딕" panose="020B0503020000020004" pitchFamily="50" charset="-127"/>
              </a:rPr>
              <a:t>확인</a:t>
            </a:r>
          </a:p>
        </xdr:txBody>
      </xdr:sp>
    </xdr:grpSp>
    <xdr:clientData/>
  </xdr:twoCellAnchor>
  <xdr:twoCellAnchor editAs="oneCell">
    <xdr:from>
      <xdr:col>3</xdr:col>
      <xdr:colOff>163285</xdr:colOff>
      <xdr:row>7</xdr:row>
      <xdr:rowOff>138310</xdr:rowOff>
    </xdr:from>
    <xdr:to>
      <xdr:col>3</xdr:col>
      <xdr:colOff>4961936</xdr:colOff>
      <xdr:row>7</xdr:row>
      <xdr:rowOff>2594639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4685" y="7932481"/>
          <a:ext cx="4798651" cy="2456329"/>
        </a:xfrm>
        <a:prstGeom prst="rect">
          <a:avLst/>
        </a:prstGeom>
      </xdr:spPr>
    </xdr:pic>
    <xdr:clientData/>
  </xdr:twoCellAnchor>
  <xdr:twoCellAnchor>
    <xdr:from>
      <xdr:col>3</xdr:col>
      <xdr:colOff>1077686</xdr:colOff>
      <xdr:row>7</xdr:row>
      <xdr:rowOff>2775857</xdr:rowOff>
    </xdr:from>
    <xdr:to>
      <xdr:col>3</xdr:col>
      <xdr:colOff>3619625</xdr:colOff>
      <xdr:row>7</xdr:row>
      <xdr:rowOff>4840971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GrpSpPr/>
      </xdr:nvGrpSpPr>
      <xdr:grpSpPr>
        <a:xfrm>
          <a:off x="9663793" y="5252357"/>
          <a:ext cx="2541939" cy="2065114"/>
          <a:chOff x="8193742" y="10183906"/>
          <a:chExt cx="2541939" cy="2065114"/>
        </a:xfrm>
      </xdr:grpSpPr>
      <xdr:grpSp>
        <xdr:nvGrpSpPr>
          <xdr:cNvPr id="234" name="그룹 233">
            <a:extLst>
              <a:ext uri="{FF2B5EF4-FFF2-40B4-BE49-F238E27FC236}">
                <a16:creationId xmlns:a16="http://schemas.microsoft.com/office/drawing/2014/main" id="{00000000-0008-0000-0700-0000EA000000}"/>
              </a:ext>
            </a:extLst>
          </xdr:cNvPr>
          <xdr:cNvGrpSpPr/>
        </xdr:nvGrpSpPr>
        <xdr:grpSpPr>
          <a:xfrm>
            <a:off x="8193742" y="10183906"/>
            <a:ext cx="2541939" cy="2065114"/>
            <a:chOff x="6890210" y="4234252"/>
            <a:chExt cx="3069336" cy="2323066"/>
          </a:xfrm>
        </xdr:grpSpPr>
        <xdr:pic>
          <xdr:nvPicPr>
            <xdr:cNvPr id="289" name="그림 288">
              <a:extLst>
                <a:ext uri="{FF2B5EF4-FFF2-40B4-BE49-F238E27FC236}">
                  <a16:creationId xmlns:a16="http://schemas.microsoft.com/office/drawing/2014/main" id="{00000000-0008-0000-0700-00002101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90210" y="4234252"/>
              <a:ext cx="3069336" cy="2323066"/>
            </a:xfrm>
            <a:prstGeom prst="rect">
              <a:avLst/>
            </a:prstGeom>
          </xdr:spPr>
        </xdr:pic>
        <xdr:grpSp>
          <xdr:nvGrpSpPr>
            <xdr:cNvPr id="290" name="그룹 289">
              <a:extLst>
                <a:ext uri="{FF2B5EF4-FFF2-40B4-BE49-F238E27FC236}">
                  <a16:creationId xmlns:a16="http://schemas.microsoft.com/office/drawing/2014/main" id="{00000000-0008-0000-0700-000022010000}"/>
                </a:ext>
              </a:extLst>
            </xdr:cNvPr>
            <xdr:cNvGrpSpPr/>
          </xdr:nvGrpSpPr>
          <xdr:grpSpPr>
            <a:xfrm>
              <a:off x="7218013" y="4526012"/>
              <a:ext cx="2494406" cy="1165204"/>
              <a:chOff x="500063" y="3814420"/>
              <a:chExt cx="4574445" cy="1917700"/>
            </a:xfrm>
          </xdr:grpSpPr>
          <xdr:sp macro="" textlink="">
            <xdr:nvSpPr>
              <xdr:cNvPr id="291" name="직사각형 290">
                <a:extLst>
                  <a:ext uri="{FF2B5EF4-FFF2-40B4-BE49-F238E27FC236}">
                    <a16:creationId xmlns:a16="http://schemas.microsoft.com/office/drawing/2014/main" id="{00000000-0008-0000-0700-00002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0063" y="3814420"/>
                <a:ext cx="4574445" cy="1917700"/>
              </a:xfrm>
              <a:prstGeom prst="rect">
                <a:avLst/>
              </a:prstGeom>
              <a:solidFill>
                <a:srgbClr val="FFC000"/>
              </a:solidFill>
              <a:ln w="38100" algn="ctr">
                <a:solidFill>
                  <a:srgbClr val="000000"/>
                </a:solidFill>
                <a:round/>
                <a:headEnd type="stealth" w="med" len="med"/>
                <a:tailEnd/>
              </a:ln>
            </xdr:spPr>
            <xdr:txBody>
              <a:bodyPr wrap="square" lIns="92075" tIns="46038" rIns="92075" bIns="46038" anchor="t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en-US" altLang="ko-KR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[ IDLE ]</a:t>
                </a:r>
              </a:p>
              <a:p>
                <a:pPr algn="ctr"/>
                <a:r>
                  <a:rPr lang="en-US" altLang="ko-KR" sz="1200" b="0">
                    <a:solidFill>
                      <a:schemeClr val="tx1"/>
                    </a:solidFill>
                    <a:ea typeface="맑은 고딕" panose="020B0503020000020004" pitchFamily="50" charset="-127"/>
                  </a:rPr>
                  <a:t>EAR</a:t>
                </a:r>
                <a:r>
                  <a:rPr lang="en-US" altLang="ko-KR" sz="1200" b="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001</a:t>
                </a:r>
              </a:p>
              <a:p>
                <a:pPr algn="ctr"/>
                <a:r>
                  <a:rPr lang="en-US" altLang="ko-KR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(</a:t>
                </a:r>
                <a:r>
                  <a:rPr lang="ko-KR" altLang="en-US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식사 </a:t>
                </a:r>
                <a:r>
                  <a:rPr lang="en-US" altLang="ko-KR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/ </a:t>
                </a:r>
                <a:r>
                  <a:rPr lang="ko-KR" altLang="en-US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휴식</a:t>
                </a:r>
                <a:r>
                  <a:rPr lang="en-US" altLang="ko-KR" sz="120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)</a:t>
                </a:r>
                <a:endParaRPr lang="ko-KR" altLang="en-US" sz="1200">
                  <a:solidFill>
                    <a:schemeClr val="tx1"/>
                  </a:solidFill>
                  <a:latin typeface="+mn-lt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92" name="직사각형 291">
                <a:extLst>
                  <a:ext uri="{FF2B5EF4-FFF2-40B4-BE49-F238E27FC236}">
                    <a16:creationId xmlns:a16="http://schemas.microsoft.com/office/drawing/2014/main" id="{00000000-0008-0000-0700-000024010000}"/>
                  </a:ext>
                </a:extLst>
              </xdr:cNvPr>
              <xdr:cNvSpPr/>
            </xdr:nvSpPr>
            <xdr:spPr bwMode="auto">
              <a:xfrm>
                <a:off x="3116339" y="5147566"/>
                <a:ext cx="1686226" cy="357187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 w="12700" cap="flat" cmpd="sng" algn="ctr">
                <a:solidFill>
                  <a:srgbClr val="000000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wrap="square" lIns="92075" tIns="46038" rIns="92075" bIns="46038" anchor="ctr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>
                  <a:defRPr/>
                </a:pPr>
                <a:r>
                  <a:rPr lang="en-US" altLang="ko-KR" sz="700" b="0">
                    <a:solidFill>
                      <a:schemeClr val="tx1"/>
                    </a:solidFill>
                    <a:ea typeface="맑은 고딕" panose="020B0503020000020004" pitchFamily="50" charset="-127"/>
                  </a:rPr>
                  <a:t>IDLE End</a:t>
                </a:r>
                <a:endParaRPr lang="ko-KR" altLang="en-US" sz="700" b="0">
                  <a:solidFill>
                    <a:schemeClr val="tx1"/>
                  </a:solidFill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93" name="직사각형 292">
                <a:extLst>
                  <a:ext uri="{FF2B5EF4-FFF2-40B4-BE49-F238E27FC236}">
                    <a16:creationId xmlns:a16="http://schemas.microsoft.com/office/drawing/2014/main" id="{00000000-0008-0000-0700-000025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65680" y="5147564"/>
                <a:ext cx="1849508" cy="357187"/>
              </a:xfrm>
              <a:prstGeom prst="rect">
                <a:avLst/>
              </a:prstGeom>
              <a:solidFill>
                <a:schemeClr val="bg1"/>
              </a:solidFill>
              <a:ln w="12700" algn="ctr">
                <a:solidFill>
                  <a:srgbClr val="000000"/>
                </a:solidFill>
                <a:round/>
                <a:headEnd type="stealth" w="med" len="med"/>
                <a:tailEnd/>
              </a:ln>
            </xdr:spPr>
            <xdr:txBody>
              <a:bodyPr wrap="square" lIns="92075" tIns="46038" rIns="92075" bIns="46038" anchor="ctr"/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en-US" altLang="ko-KR" sz="700" b="0">
                    <a:solidFill>
                      <a:schemeClr val="tx1"/>
                    </a:solidFill>
                    <a:latin typeface="+mn-lt"/>
                    <a:ea typeface="맑은 고딕" panose="020B0503020000020004" pitchFamily="50" charset="-127"/>
                  </a:rPr>
                  <a:t>Operator ID</a:t>
                </a:r>
                <a:endParaRPr lang="ko-KR" altLang="en-US" sz="700" b="0">
                  <a:solidFill>
                    <a:schemeClr val="tx1"/>
                  </a:solidFill>
                  <a:latin typeface="+mn-lt"/>
                  <a:ea typeface="맑은 고딕" panose="020B0503020000020004" pitchFamily="50" charset="-127"/>
                </a:endParaRPr>
              </a:p>
            </xdr:txBody>
          </xdr:sp>
        </xdr:grpSp>
      </xdr:grpSp>
      <xdr:grpSp>
        <xdr:nvGrpSpPr>
          <xdr:cNvPr id="235" name="그룹 234">
            <a:extLst>
              <a:ext uri="{FF2B5EF4-FFF2-40B4-BE49-F238E27FC236}">
                <a16:creationId xmlns:a16="http://schemas.microsoft.com/office/drawing/2014/main" id="{00000000-0008-0000-0700-0000EB000000}"/>
              </a:ext>
            </a:extLst>
          </xdr:cNvPr>
          <xdr:cNvGrpSpPr/>
        </xdr:nvGrpSpPr>
        <xdr:grpSpPr>
          <a:xfrm>
            <a:off x="8314542" y="11523389"/>
            <a:ext cx="1327357" cy="597560"/>
            <a:chOff x="-6895528" y="2512838"/>
            <a:chExt cx="6220072" cy="2800202"/>
          </a:xfrm>
        </xdr:grpSpPr>
        <xdr:sp macro="" textlink="">
          <xdr:nvSpPr>
            <xdr:cNvPr id="236" name="직사각형 235">
              <a:extLst>
                <a:ext uri="{FF2B5EF4-FFF2-40B4-BE49-F238E27FC236}">
                  <a16:creationId xmlns:a16="http://schemas.microsoft.com/office/drawing/2014/main" id="{00000000-0008-0000-0700-0000EC000000}"/>
                </a:ext>
              </a:extLst>
            </xdr:cNvPr>
            <xdr:cNvSpPr/>
          </xdr:nvSpPr>
          <xdr:spPr bwMode="auto">
            <a:xfrm>
              <a:off x="-6895528" y="2532454"/>
              <a:ext cx="6220072" cy="2780586"/>
            </a:xfrm>
            <a:prstGeom prst="rect">
              <a:avLst/>
            </a:prstGeom>
            <a:solidFill>
              <a:schemeClr val="bg1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vert="horz" wrap="square" lIns="92075" tIns="46038" rIns="92075" bIns="46038" numCol="1" rtlCol="0" anchor="t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marL="0" marR="0" indent="0" algn="l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1" lang="en-US" altLang="ko-KR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rPr>
                <a:t>d</a:t>
              </a:r>
              <a:endParaRPr kumimoji="1" lang="ko-KR" altLang="en-US" sz="1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LG스마트체 Light" panose="020B0600000101010101" pitchFamily="50" charset="-127"/>
                <a:ea typeface="LG스마트체 Light" panose="020B0600000101010101" pitchFamily="50" charset="-127"/>
              </a:endParaRPr>
            </a:p>
          </xdr:txBody>
        </xdr:sp>
        <xdr:sp macro="" textlink="">
          <xdr:nvSpPr>
            <xdr:cNvPr id="237" name="직사각형 236">
              <a:extLst>
                <a:ext uri="{FF2B5EF4-FFF2-40B4-BE49-F238E27FC236}">
                  <a16:creationId xmlns:a16="http://schemas.microsoft.com/office/drawing/2014/main" id="{00000000-0008-0000-0700-0000ED000000}"/>
                </a:ext>
              </a:extLst>
            </xdr:cNvPr>
            <xdr:cNvSpPr/>
          </xdr:nvSpPr>
          <xdr:spPr bwMode="auto">
            <a:xfrm>
              <a:off x="-6895528" y="2532455"/>
              <a:ext cx="6220072" cy="332313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stealth" w="med" len="med"/>
              <a:tailEnd type="none" w="med" len="med"/>
            </a:ln>
            <a:effectLst/>
          </xdr:spPr>
          <xdr:txBody>
            <a:bodyPr vert="horz" wrap="square" lIns="92075" tIns="46038" rIns="92075" bIns="46038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>
                <a:defRPr/>
              </a:pPr>
              <a:r>
                <a:rPr lang="en-US" altLang="ko-KR" sz="100">
                  <a:solidFill>
                    <a:schemeClr val="tx1"/>
                  </a:solidFill>
                  <a:latin typeface="LG스마트체 Light" panose="020B0600000101010101" pitchFamily="50" charset="-127"/>
                  <a:ea typeface="LG스마트체 Light" panose="020B0600000101010101" pitchFamily="50" charset="-127"/>
                </a:rPr>
                <a:t>IDLE Reason Report</a:t>
              </a:r>
              <a:endParaRPr lang="ko-KR" altLang="en-US" sz="100">
                <a:solidFill>
                  <a:schemeClr val="tx1"/>
                </a:solidFill>
                <a:latin typeface="LG스마트체 Light" panose="020B0600000101010101" pitchFamily="50" charset="-127"/>
                <a:ea typeface="LG스마트체 Light" panose="020B0600000101010101" pitchFamily="50" charset="-127"/>
              </a:endParaRPr>
            </a:p>
          </xdr:txBody>
        </xdr:sp>
        <xdr:grpSp>
          <xdr:nvGrpSpPr>
            <xdr:cNvPr id="238" name="그룹 237">
              <a:extLst>
                <a:ext uri="{FF2B5EF4-FFF2-40B4-BE49-F238E27FC236}">
                  <a16:creationId xmlns:a16="http://schemas.microsoft.com/office/drawing/2014/main" id="{00000000-0008-0000-0700-0000EE000000}"/>
                </a:ext>
              </a:extLst>
            </xdr:cNvPr>
            <xdr:cNvGrpSpPr/>
          </xdr:nvGrpSpPr>
          <xdr:grpSpPr>
            <a:xfrm>
              <a:off x="-6796136" y="2744667"/>
              <a:ext cx="3600400" cy="2352349"/>
              <a:chOff x="-6796136" y="2816675"/>
              <a:chExt cx="3600400" cy="2352349"/>
            </a:xfrm>
          </xdr:grpSpPr>
          <xdr:sp macro="" textlink="">
            <xdr:nvSpPr>
              <xdr:cNvPr id="246" name="직사각형 245">
                <a:extLst>
                  <a:ext uri="{FF2B5EF4-FFF2-40B4-BE49-F238E27FC236}">
                    <a16:creationId xmlns:a16="http://schemas.microsoft.com/office/drawing/2014/main" id="{00000000-0008-0000-0700-0000F6000000}"/>
                  </a:ext>
                </a:extLst>
              </xdr:cNvPr>
              <xdr:cNvSpPr/>
            </xdr:nvSpPr>
            <xdr:spPr bwMode="auto">
              <a:xfrm>
                <a:off x="-6796136" y="3146704"/>
                <a:ext cx="3600400" cy="2022320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t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l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47" name="직사각형 246">
                <a:extLst>
                  <a:ext uri="{FF2B5EF4-FFF2-40B4-BE49-F238E27FC236}">
                    <a16:creationId xmlns:a16="http://schemas.microsoft.com/office/drawing/2014/main" id="{00000000-0008-0000-0700-0000F7000000}"/>
                  </a:ext>
                </a:extLst>
              </xdr:cNvPr>
              <xdr:cNvSpPr/>
            </xdr:nvSpPr>
            <xdr:spPr bwMode="auto">
              <a:xfrm>
                <a:off x="-6601468" y="3296816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생산 계획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48" name="직사각형 247">
                <a:extLst>
                  <a:ext uri="{FF2B5EF4-FFF2-40B4-BE49-F238E27FC236}">
                    <a16:creationId xmlns:a16="http://schemas.microsoft.com/office/drawing/2014/main" id="{00000000-0008-0000-0700-0000F8000000}"/>
                  </a:ext>
                </a:extLst>
              </xdr:cNvPr>
              <xdr:cNvSpPr/>
            </xdr:nvSpPr>
            <xdr:spPr bwMode="auto">
              <a:xfrm>
                <a:off x="-5776754" y="3296816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식사 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/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휴식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49" name="직사각형 248">
                <a:extLst>
                  <a:ext uri="{FF2B5EF4-FFF2-40B4-BE49-F238E27FC236}">
                    <a16:creationId xmlns:a16="http://schemas.microsoft.com/office/drawing/2014/main" id="{00000000-0008-0000-0700-0000F9000000}"/>
                  </a:ext>
                </a:extLst>
              </xdr:cNvPr>
              <xdr:cNvSpPr/>
            </xdr:nvSpPr>
            <xdr:spPr bwMode="auto">
              <a:xfrm>
                <a:off x="-6601468" y="3800872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Lot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교체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50" name="직사각형 249">
                <a:extLst>
                  <a:ext uri="{FF2B5EF4-FFF2-40B4-BE49-F238E27FC236}">
                    <a16:creationId xmlns:a16="http://schemas.microsoft.com/office/drawing/2014/main" id="{00000000-0008-0000-0700-0000FA000000}"/>
                  </a:ext>
                </a:extLst>
              </xdr:cNvPr>
              <xdr:cNvSpPr/>
            </xdr:nvSpPr>
            <xdr:spPr bwMode="auto">
              <a:xfrm>
                <a:off x="-5776754" y="3800872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Epoxy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교체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51" name="직사각형 250">
                <a:extLst>
                  <a:ext uri="{FF2B5EF4-FFF2-40B4-BE49-F238E27FC236}">
                    <a16:creationId xmlns:a16="http://schemas.microsoft.com/office/drawing/2014/main" id="{00000000-0008-0000-0700-0000FB000000}"/>
                  </a:ext>
                </a:extLst>
              </xdr:cNvPr>
              <xdr:cNvSpPr/>
            </xdr:nvSpPr>
            <xdr:spPr bwMode="auto">
              <a:xfrm>
                <a:off x="-4952040" y="3800872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CTQ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52" name="직사각형 251">
                <a:extLst>
                  <a:ext uri="{FF2B5EF4-FFF2-40B4-BE49-F238E27FC236}">
                    <a16:creationId xmlns:a16="http://schemas.microsoft.com/office/drawing/2014/main" id="{00000000-0008-0000-0700-0000FC000000}"/>
                  </a:ext>
                </a:extLst>
              </xdr:cNvPr>
              <xdr:cNvSpPr/>
            </xdr:nvSpPr>
            <xdr:spPr bwMode="auto">
              <a:xfrm>
                <a:off x="-4127325" y="3800872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Spare</a:t>
                </a:r>
                <a:r>
                  <a:rPr kumimoji="1" lang="en-US" altLang="ko-KR" sz="100" b="0" i="0" u="none" strike="noStrike" cap="none" normalizeH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 Part </a:t>
                </a:r>
                <a:r>
                  <a:rPr kumimoji="1" lang="ko-KR" altLang="en-US" sz="100" b="0" i="0" u="none" strike="noStrike" cap="none" normalizeH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교체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53" name="직사각형 252">
                <a:extLst>
                  <a:ext uri="{FF2B5EF4-FFF2-40B4-BE49-F238E27FC236}">
                    <a16:creationId xmlns:a16="http://schemas.microsoft.com/office/drawing/2014/main" id="{00000000-0008-0000-0700-0000FD000000}"/>
                  </a:ext>
                </a:extLst>
              </xdr:cNvPr>
              <xdr:cNvSpPr/>
            </xdr:nvSpPr>
            <xdr:spPr bwMode="auto">
              <a:xfrm>
                <a:off x="-6594220" y="4268924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자재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교체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54" name="직사각형 253">
                <a:extLst>
                  <a:ext uri="{FF2B5EF4-FFF2-40B4-BE49-F238E27FC236}">
                    <a16:creationId xmlns:a16="http://schemas.microsoft.com/office/drawing/2014/main" id="{00000000-0008-0000-0700-0000FE000000}"/>
                  </a:ext>
                </a:extLst>
              </xdr:cNvPr>
              <xdr:cNvSpPr/>
            </xdr:nvSpPr>
            <xdr:spPr bwMode="auto">
              <a:xfrm>
                <a:off x="-5776754" y="4268924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품질 대응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68" name="직사각형 267">
                <a:extLst>
                  <a:ext uri="{FF2B5EF4-FFF2-40B4-BE49-F238E27FC236}">
                    <a16:creationId xmlns:a16="http://schemas.microsoft.com/office/drawing/2014/main" id="{00000000-0008-0000-0700-00000C010000}"/>
                  </a:ext>
                </a:extLst>
              </xdr:cNvPr>
              <xdr:cNvSpPr/>
            </xdr:nvSpPr>
            <xdr:spPr bwMode="auto">
              <a:xfrm>
                <a:off x="-4952040" y="4268924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ko-KR" altLang="en-US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자주 검사</a:t>
                </a:r>
              </a:p>
            </xdr:txBody>
          </xdr:sp>
          <xdr:sp macro="" textlink="">
            <xdr:nvSpPr>
              <xdr:cNvPr id="269" name="직사각형 268">
                <a:extLst>
                  <a:ext uri="{FF2B5EF4-FFF2-40B4-BE49-F238E27FC236}">
                    <a16:creationId xmlns:a16="http://schemas.microsoft.com/office/drawing/2014/main" id="{00000000-0008-0000-0700-00000D010000}"/>
                  </a:ext>
                </a:extLst>
              </xdr:cNvPr>
              <xdr:cNvSpPr/>
            </xdr:nvSpPr>
            <xdr:spPr bwMode="auto">
              <a:xfrm>
                <a:off x="-4127325" y="4268924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Pare </a:t>
                </a:r>
                <a:r>
                  <a:rPr kumimoji="1" lang="ko-KR" altLang="en-US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정지</a:t>
                </a:r>
              </a:p>
            </xdr:txBody>
          </xdr:sp>
          <xdr:sp macro="" textlink="">
            <xdr:nvSpPr>
              <xdr:cNvPr id="270" name="직사각형 269">
                <a:extLst>
                  <a:ext uri="{FF2B5EF4-FFF2-40B4-BE49-F238E27FC236}">
                    <a16:creationId xmlns:a16="http://schemas.microsoft.com/office/drawing/2014/main" id="{00000000-0008-0000-0700-00000E010000}"/>
                  </a:ext>
                </a:extLst>
              </xdr:cNvPr>
              <xdr:cNvSpPr/>
            </xdr:nvSpPr>
            <xdr:spPr bwMode="auto">
              <a:xfrm>
                <a:off x="-6594220" y="4736976"/>
                <a:ext cx="720080" cy="288032"/>
              </a:xfrm>
              <a:prstGeom prst="rect">
                <a:avLst/>
              </a:prstGeom>
              <a:gradFill flip="none" rotWithShape="1">
                <a:gsLst>
                  <a:gs pos="0">
                    <a:schemeClr val="bg1">
                      <a:lumMod val="85000"/>
                      <a:shade val="30000"/>
                      <a:satMod val="115000"/>
                    </a:schemeClr>
                  </a:gs>
                  <a:gs pos="50000">
                    <a:schemeClr val="bg1">
                      <a:lumMod val="8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85000"/>
                      <a:shade val="100000"/>
                      <a:satMod val="115000"/>
                    </a:schemeClr>
                  </a:gs>
                </a:gsLst>
                <a:lin ang="8100000" scaled="1"/>
                <a:tileRect/>
              </a:gradFill>
              <a:ln w="12700" cap="flat" cmpd="sng" algn="ctr">
                <a:solidFill>
                  <a:schemeClr val="bg1">
                    <a:lumMod val="50000"/>
                  </a:schemeClr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설비 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Error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71" name="TextBox 112">
                <a:extLst>
                  <a:ext uri="{FF2B5EF4-FFF2-40B4-BE49-F238E27FC236}">
                    <a16:creationId xmlns:a16="http://schemas.microsoft.com/office/drawing/2014/main" id="{00000000-0008-0000-0700-00000F010000}"/>
                  </a:ext>
                </a:extLst>
              </xdr:cNvPr>
              <xdr:cNvSpPr txBox="1"/>
            </xdr:nvSpPr>
            <xdr:spPr>
              <a:xfrm>
                <a:off x="-6669261" y="2816675"/>
                <a:ext cx="1008111" cy="649014"/>
              </a:xfrm>
              <a:prstGeom prst="rect">
                <a:avLst/>
              </a:prstGeom>
              <a:solidFill>
                <a:schemeClr val="bg1"/>
              </a:solidFill>
            </xdr:spPr>
            <xdr:txBody>
              <a:bodyPr wrap="square" rtlCol="0" anchor="ctr">
                <a:spAutoFit/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Idle Reason</a:t>
                </a:r>
                <a:endParaRPr lang="ko-KR" altLang="en-US" sz="100">
                  <a:solidFill>
                    <a:schemeClr val="tx1"/>
                  </a:solidFill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73" name="직사각형 272">
                <a:extLst>
                  <a:ext uri="{FF2B5EF4-FFF2-40B4-BE49-F238E27FC236}">
                    <a16:creationId xmlns:a16="http://schemas.microsoft.com/office/drawing/2014/main" id="{00000000-0008-0000-0700-000011010000}"/>
                  </a:ext>
                </a:extLst>
              </xdr:cNvPr>
              <xdr:cNvSpPr/>
            </xdr:nvSpPr>
            <xdr:spPr bwMode="auto">
              <a:xfrm>
                <a:off x="-4952040" y="3296816"/>
                <a:ext cx="720080" cy="28803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ysDot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Buffer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85" name="직사각형 284">
                <a:extLst>
                  <a:ext uri="{FF2B5EF4-FFF2-40B4-BE49-F238E27FC236}">
                    <a16:creationId xmlns:a16="http://schemas.microsoft.com/office/drawing/2014/main" id="{00000000-0008-0000-0700-00001D010000}"/>
                  </a:ext>
                </a:extLst>
              </xdr:cNvPr>
              <xdr:cNvSpPr/>
            </xdr:nvSpPr>
            <xdr:spPr bwMode="auto">
              <a:xfrm>
                <a:off x="-4127325" y="3296816"/>
                <a:ext cx="720080" cy="28803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ysDot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Buffer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86" name="직사각형 285">
                <a:extLst>
                  <a:ext uri="{FF2B5EF4-FFF2-40B4-BE49-F238E27FC236}">
                    <a16:creationId xmlns:a16="http://schemas.microsoft.com/office/drawing/2014/main" id="{00000000-0008-0000-0700-00001E010000}"/>
                  </a:ext>
                </a:extLst>
              </xdr:cNvPr>
              <xdr:cNvSpPr/>
            </xdr:nvSpPr>
            <xdr:spPr bwMode="auto">
              <a:xfrm>
                <a:off x="-5771922" y="4736976"/>
                <a:ext cx="720080" cy="28803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ysDot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Buffer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87" name="직사각형 286">
                <a:extLst>
                  <a:ext uri="{FF2B5EF4-FFF2-40B4-BE49-F238E27FC236}">
                    <a16:creationId xmlns:a16="http://schemas.microsoft.com/office/drawing/2014/main" id="{00000000-0008-0000-0700-00001F010000}"/>
                  </a:ext>
                </a:extLst>
              </xdr:cNvPr>
              <xdr:cNvSpPr/>
            </xdr:nvSpPr>
            <xdr:spPr bwMode="auto">
              <a:xfrm>
                <a:off x="-4949624" y="4736976"/>
                <a:ext cx="720080" cy="28803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ysDot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Buffer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88" name="직사각형 287">
                <a:extLst>
                  <a:ext uri="{FF2B5EF4-FFF2-40B4-BE49-F238E27FC236}">
                    <a16:creationId xmlns:a16="http://schemas.microsoft.com/office/drawing/2014/main" id="{00000000-0008-0000-0700-000020010000}"/>
                  </a:ext>
                </a:extLst>
              </xdr:cNvPr>
              <xdr:cNvSpPr/>
            </xdr:nvSpPr>
            <xdr:spPr bwMode="auto">
              <a:xfrm>
                <a:off x="-4127325" y="4736976"/>
                <a:ext cx="720080" cy="28803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rgbClr val="000000"/>
                </a:solidFill>
                <a:prstDash val="sysDot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Buffer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</xdr:grpSp>
        <xdr:sp macro="" textlink="">
          <xdr:nvSpPr>
            <xdr:cNvPr id="239" name="직사각형 238">
              <a:extLst>
                <a:ext uri="{FF2B5EF4-FFF2-40B4-BE49-F238E27FC236}">
                  <a16:creationId xmlns:a16="http://schemas.microsoft.com/office/drawing/2014/main" id="{00000000-0008-0000-0700-0000EF000000}"/>
                </a:ext>
              </a:extLst>
            </xdr:cNvPr>
            <xdr:cNvSpPr/>
          </xdr:nvSpPr>
          <xdr:spPr bwMode="auto">
            <a:xfrm>
              <a:off x="-1593848" y="4754692"/>
              <a:ext cx="720080" cy="288032"/>
            </a:xfrm>
            <a:prstGeom prst="rect">
              <a:avLst/>
            </a:prstGeom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8100000" scaled="1"/>
              <a:tileRect/>
            </a:gradFill>
            <a:ln w="1270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stealth" w="med" len="med"/>
              <a:tailEnd type="none" w="med" len="med"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xdr:spPr>
          <xdr:txBody>
            <a:bodyPr vert="horz" wrap="square" lIns="92075" tIns="46038" rIns="92075" bIns="46038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1000" b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marL="0" marR="0" indent="0" algn="ctr" defTabSz="914400" rtl="0" eaLnBrk="0" fontAlgn="base" latinLnBrk="0" hangingPunct="0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lang="en-US" altLang="ko-KR" sz="100">
                  <a:solidFill>
                    <a:schemeClr val="tx1"/>
                  </a:solidFill>
                  <a:latin typeface="LG스마트체 Light" panose="020B0600000101010101" pitchFamily="50" charset="-127"/>
                  <a:ea typeface="LG스마트체 Light" panose="020B0600000101010101" pitchFamily="50" charset="-127"/>
                </a:rPr>
                <a:t>Cancel</a:t>
              </a:r>
              <a:endParaRPr kumimoji="1" lang="ko-KR" altLang="en-US" sz="1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LG스마트체 Light" panose="020B0600000101010101" pitchFamily="50" charset="-127"/>
                <a:ea typeface="LG스마트체 Light" panose="020B0600000101010101" pitchFamily="50" charset="-127"/>
              </a:endParaRPr>
            </a:p>
          </xdr:txBody>
        </xdr:sp>
        <xdr:grpSp>
          <xdr:nvGrpSpPr>
            <xdr:cNvPr id="240" name="그룹 239">
              <a:extLst>
                <a:ext uri="{FF2B5EF4-FFF2-40B4-BE49-F238E27FC236}">
                  <a16:creationId xmlns:a16="http://schemas.microsoft.com/office/drawing/2014/main" id="{00000000-0008-0000-0700-0000F0000000}"/>
                </a:ext>
              </a:extLst>
            </xdr:cNvPr>
            <xdr:cNvGrpSpPr/>
          </xdr:nvGrpSpPr>
          <xdr:grpSpPr>
            <a:xfrm>
              <a:off x="-2783315" y="3830972"/>
              <a:ext cx="1695437" cy="679923"/>
              <a:chOff x="-2562171" y="4435930"/>
              <a:chExt cx="1253149" cy="459167"/>
            </a:xfrm>
          </xdr:grpSpPr>
          <xdr:sp macro="" textlink="">
            <xdr:nvSpPr>
              <xdr:cNvPr id="244" name="직사각형 243">
                <a:extLst>
                  <a:ext uri="{FF2B5EF4-FFF2-40B4-BE49-F238E27FC236}">
                    <a16:creationId xmlns:a16="http://schemas.microsoft.com/office/drawing/2014/main" id="{00000000-0008-0000-0700-0000F4000000}"/>
                  </a:ext>
                </a:extLst>
              </xdr:cNvPr>
              <xdr:cNvSpPr/>
            </xdr:nvSpPr>
            <xdr:spPr bwMode="auto">
              <a:xfrm>
                <a:off x="-2547664" y="4713164"/>
                <a:ext cx="1224136" cy="181933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chemeClr val="tx1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marL="0" marR="0" indent="0" algn="ctr" defTabSz="914400" rtl="0" eaLnBrk="0" fontAlgn="base" latinLnBrk="0" hangingPunct="0">
                  <a:lnSpc>
                    <a:spcPct val="100000"/>
                  </a:lnSpc>
                  <a:spcBef>
                    <a:spcPct val="0"/>
                  </a:spcBef>
                  <a:spcAft>
                    <a:spcPct val="0"/>
                  </a:spcAft>
                  <a:buClrTx/>
                  <a:buSzTx/>
                  <a:buFontTx/>
                  <a:buNone/>
                  <a:tabLst/>
                </a:pPr>
                <a:r>
                  <a:rPr kumimoji="1" lang="en-US" altLang="ko-KR" sz="100" b="0" i="0" u="none" strike="noStrike" cap="none" normalizeH="0" baseline="0">
                    <a:ln>
                      <a:noFill/>
                    </a:ln>
                    <a:solidFill>
                      <a:schemeClr val="tx1"/>
                    </a:solidFill>
                    <a:effectLst/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00 : 00 : 00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45" name="TextBox 99">
                <a:extLst>
                  <a:ext uri="{FF2B5EF4-FFF2-40B4-BE49-F238E27FC236}">
                    <a16:creationId xmlns:a16="http://schemas.microsoft.com/office/drawing/2014/main" id="{00000000-0008-0000-0700-0000F5000000}"/>
                  </a:ext>
                </a:extLst>
              </xdr:cNvPr>
              <xdr:cNvSpPr txBox="1"/>
            </xdr:nvSpPr>
            <xdr:spPr>
              <a:xfrm>
                <a:off x="-2562171" y="4435930"/>
                <a:ext cx="1253149" cy="340896"/>
              </a:xfrm>
              <a:prstGeom prst="rect">
                <a:avLst/>
              </a:prstGeom>
              <a:noFill/>
            </xdr:spPr>
            <xdr:txBody>
              <a:bodyPr wrap="square" rtlCol="0" anchor="ctr">
                <a:spAutoFit/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설비 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Idle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상태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 </a:t>
                </a:r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경과 시간</a:t>
                </a:r>
              </a:p>
            </xdr:txBody>
          </xdr:sp>
        </xdr:grpSp>
        <xdr:grpSp>
          <xdr:nvGrpSpPr>
            <xdr:cNvPr id="241" name="그룹 240">
              <a:extLst>
                <a:ext uri="{FF2B5EF4-FFF2-40B4-BE49-F238E27FC236}">
                  <a16:creationId xmlns:a16="http://schemas.microsoft.com/office/drawing/2014/main" id="{00000000-0008-0000-0700-0000F1000000}"/>
                </a:ext>
              </a:extLst>
            </xdr:cNvPr>
            <xdr:cNvGrpSpPr/>
          </xdr:nvGrpSpPr>
          <xdr:grpSpPr>
            <a:xfrm>
              <a:off x="-2835696" y="2512838"/>
              <a:ext cx="1728191" cy="1225919"/>
              <a:chOff x="-2672131" y="2611175"/>
              <a:chExt cx="1442749" cy="1225919"/>
            </a:xfrm>
          </xdr:grpSpPr>
          <xdr:sp macro="" textlink="">
            <xdr:nvSpPr>
              <xdr:cNvPr id="242" name="직사각형 241">
                <a:extLst>
                  <a:ext uri="{FF2B5EF4-FFF2-40B4-BE49-F238E27FC236}">
                    <a16:creationId xmlns:a16="http://schemas.microsoft.com/office/drawing/2014/main" id="{00000000-0008-0000-0700-0000F2000000}"/>
                  </a:ext>
                </a:extLst>
              </xdr:cNvPr>
              <xdr:cNvSpPr/>
            </xdr:nvSpPr>
            <xdr:spPr bwMode="auto">
              <a:xfrm>
                <a:off x="-2598760" y="3356291"/>
                <a:ext cx="1369378" cy="192212"/>
              </a:xfrm>
              <a:prstGeom prst="rect">
                <a:avLst/>
              </a:prstGeom>
              <a:solidFill>
                <a:schemeClr val="bg1"/>
              </a:solidFill>
              <a:ln w="12700" cap="flat" cmpd="sng" algn="ctr">
                <a:solidFill>
                  <a:schemeClr val="tx1"/>
                </a:solidFill>
                <a:prstDash val="solid"/>
                <a:round/>
                <a:headEnd type="stealth" w="med" len="med"/>
                <a:tailEnd type="none" w="med" len="med"/>
              </a:ln>
              <a:effectLst/>
            </xdr:spPr>
            <xdr:txBody>
              <a:bodyPr vert="horz" wrap="square" lIns="92075" tIns="46038" rIns="92075" bIns="46038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ko-KR" altLang="en-US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사번을 입력하십시오</a:t>
                </a:r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.</a:t>
                </a:r>
                <a:endParaRPr kumimoji="1" lang="ko-KR" altLang="en-US" sz="1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  <xdr:sp macro="" textlink="">
            <xdr:nvSpPr>
              <xdr:cNvPr id="243" name="TextBox 97">
                <a:extLst>
                  <a:ext uri="{FF2B5EF4-FFF2-40B4-BE49-F238E27FC236}">
                    <a16:creationId xmlns:a16="http://schemas.microsoft.com/office/drawing/2014/main" id="{00000000-0008-0000-0700-0000F3000000}"/>
                  </a:ext>
                </a:extLst>
              </xdr:cNvPr>
              <xdr:cNvSpPr txBox="1"/>
            </xdr:nvSpPr>
            <xdr:spPr>
              <a:xfrm>
                <a:off x="-2672131" y="2611175"/>
                <a:ext cx="721375" cy="1225919"/>
              </a:xfrm>
              <a:prstGeom prst="rect">
                <a:avLst/>
              </a:prstGeom>
              <a:noFill/>
            </xdr:spPr>
            <xdr:txBody>
              <a:bodyPr wrap="square" rtlCol="0" anchor="ctr">
                <a:spAutoFit/>
              </a:bodyPr>
              <a:lstStyle>
                <a:defPPr>
                  <a:defRPr lang="ko-KR"/>
                </a:defPPr>
                <a:lvl1pPr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1pPr>
                <a:lvl2pPr marL="4572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2pPr>
                <a:lvl3pPr marL="9144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3pPr>
                <a:lvl4pPr marL="13716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4pPr>
                <a:lvl5pPr marL="1828800" algn="l" rtl="0" eaLnBrk="0" fontAlgn="base" hangingPunct="0">
                  <a:spcBef>
                    <a:spcPct val="0"/>
                  </a:spcBef>
                  <a:spcAft>
                    <a:spcPct val="0"/>
                  </a:spcAft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5pPr>
                <a:lvl6pPr marL="22860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6pPr>
                <a:lvl7pPr marL="27432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7pPr>
                <a:lvl8pPr marL="32004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8pPr>
                <a:lvl9pPr marL="3657600" algn="l" defTabSz="914400" rtl="0" eaLnBrk="1" latinLnBrk="1" hangingPunct="1">
                  <a:defRPr kumimoji="1" sz="1000" b="1" kern="1200">
                    <a:solidFill>
                      <a:schemeClr val="tx1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lvl9pPr>
              </a:lstStyle>
              <a:p>
                <a:pPr algn="ctr"/>
                <a:r>
                  <a:rPr lang="en-US" altLang="ko-KR" sz="100">
                    <a:solidFill>
                      <a:schemeClr val="tx1"/>
                    </a:solidFill>
                    <a:latin typeface="LG스마트체 Light" panose="020B0600000101010101" pitchFamily="50" charset="-127"/>
                    <a:ea typeface="LG스마트체 Light" panose="020B0600000101010101" pitchFamily="50" charset="-127"/>
                  </a:rPr>
                  <a:t>Operator ID</a:t>
                </a:r>
                <a:endParaRPr lang="ko-KR" altLang="en-US" sz="100">
                  <a:solidFill>
                    <a:schemeClr val="tx1"/>
                  </a:solidFill>
                  <a:latin typeface="LG스마트체 Light" panose="020B0600000101010101" pitchFamily="50" charset="-127"/>
                  <a:ea typeface="LG스마트체 Light" panose="020B0600000101010101" pitchFamily="50" charset="-127"/>
                </a:endParaRPr>
              </a:p>
            </xdr:txBody>
          </xdr:sp>
        </xdr:grpSp>
      </xdr:grpSp>
    </xdr:grpSp>
    <xdr:clientData/>
  </xdr:twoCellAnchor>
  <xdr:twoCellAnchor editAs="oneCell">
    <xdr:from>
      <xdr:col>6</xdr:col>
      <xdr:colOff>204108</xdr:colOff>
      <xdr:row>7</xdr:row>
      <xdr:rowOff>340178</xdr:rowOff>
    </xdr:from>
    <xdr:to>
      <xdr:col>7</xdr:col>
      <xdr:colOff>2721</xdr:colOff>
      <xdr:row>7</xdr:row>
      <xdr:rowOff>3960183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19322" y="2816678"/>
          <a:ext cx="2285999" cy="36200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12880</xdr:colOff>
      <xdr:row>61</xdr:row>
      <xdr:rowOff>570619</xdr:rowOff>
    </xdr:from>
    <xdr:to>
      <xdr:col>12</xdr:col>
      <xdr:colOff>178158</xdr:colOff>
      <xdr:row>61</xdr:row>
      <xdr:rowOff>1567397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B6854F-6139-4642-A604-1A8C7D038401}"/>
            </a:ext>
          </a:extLst>
        </xdr:cNvPr>
        <xdr:cNvSpPr txBox="1"/>
      </xdr:nvSpPr>
      <xdr:spPr>
        <a:xfrm rot="19573906">
          <a:off x="12832409" y="4929707"/>
          <a:ext cx="4008896" cy="996778"/>
        </a:xfrm>
        <a:prstGeom prst="rect">
          <a:avLst/>
        </a:prstGeom>
        <a:solidFill>
          <a:schemeClr val="lt1">
            <a:alpha val="0"/>
          </a:schemeClr>
        </a:solidFill>
        <a:ln w="666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600" b="1">
              <a:solidFill>
                <a:srgbClr val="FF0000"/>
              </a:solidFill>
            </a:rPr>
            <a:t>MES</a:t>
          </a:r>
          <a:r>
            <a:rPr lang="ko-KR" altLang="en-US" sz="3600" b="1">
              <a:solidFill>
                <a:srgbClr val="FF0000"/>
              </a:solidFill>
            </a:rPr>
            <a:t>확인 필요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200360</xdr:colOff>
      <xdr:row>1</xdr:row>
      <xdr:rowOff>7619</xdr:rowOff>
    </xdr:from>
    <xdr:to>
      <xdr:col>17</xdr:col>
      <xdr:colOff>566120</xdr:colOff>
      <xdr:row>9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9371254" y="124160"/>
          <a:ext cx="5816301" cy="4089252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Host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에서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S7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,F25 (Fomatted Process Program Request - FPR)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요청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EQP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S7,F26 (Formatted Process Program Data - FPD)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Recipe Parameter Upload</a:t>
          </a:r>
        </a:p>
        <a:p>
          <a:pPr algn="l"/>
          <a:endParaRPr lang="en-US" altLang="ko-KR" sz="110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900" b="1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</a:rPr>
            <a:t>S7,F26 - </a:t>
          </a:r>
          <a:r>
            <a:rPr lang="en-US" altLang="ko-KR" sz="900" b="1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Formatted Process Program Data (FPD)</a:t>
          </a:r>
        </a:p>
        <a:p>
          <a:pPr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L,4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1. &lt;PPID&gt;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2. &lt;MDLN&gt;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3. &lt;SOFTREV&gt;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4. L,c		(c = Number of Process Commands)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1. L,2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    1. &lt;CCODE&gt;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    2. &lt;PPARM1&gt;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2. L,2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...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c. L,2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137160</xdr:rowOff>
    </xdr:from>
    <xdr:to>
      <xdr:col>16</xdr:col>
      <xdr:colOff>627530</xdr:colOff>
      <xdr:row>12</xdr:row>
      <xdr:rowOff>179294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9837420" y="137160"/>
          <a:ext cx="5312934" cy="31170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Host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에서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S2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,F23 (</a:t>
          </a:r>
          <a:r>
            <a:rPr kumimoji="1"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Trace Initialize Send - TIS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)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 보고 주기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SVID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등 전송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EQP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S6,F1 (Trace Data Send - TDS)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엑셀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No(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순번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)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 맞게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Trace Data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보고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endParaRPr lang="en-US" altLang="ko-KR" sz="1100" baseline="0">
            <a:solidFill>
              <a:schemeClr val="tx1"/>
            </a:solidFill>
            <a:latin typeface="+mn-ea"/>
            <a:ea typeface="+mn-ea"/>
          </a:endParaRPr>
        </a:p>
        <a:p>
          <a:pPr algn="l"/>
          <a:r>
            <a:rPr lang="en-US" altLang="ko-KR" sz="900" b="1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</a:rPr>
            <a:t>S6,F1 - Trace Data Send (TDS)</a:t>
          </a:r>
        </a:p>
        <a:p>
          <a:pPr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L,4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1. &lt;TRID&gt;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2. &lt;SMPLN&gt;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3. &lt;STIME&gt;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4. L,n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1. &lt;SV</a:t>
          </a:r>
          <a:r>
            <a:rPr lang="ko-KR" altLang="en-US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₁</a:t>
          </a:r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2. &lt;SV</a:t>
          </a:r>
          <a:r>
            <a:rPr lang="ko-KR" altLang="en-US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₂</a:t>
          </a:r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&gt;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...</a:t>
          </a:r>
        </a:p>
        <a:p>
          <a:pPr lvl="0" algn="l"/>
          <a:r>
            <a:rPr lang="en-US" altLang="ko-KR" sz="900" baseline="0"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ea"/>
              <a:ea typeface="+mn-ea"/>
              <a:cs typeface="+mn-cs"/>
            </a:rPr>
            <a:t>        n. &lt;SVn&gt;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145676</xdr:colOff>
      <xdr:row>11</xdr:row>
      <xdr:rowOff>56029</xdr:rowOff>
    </xdr:from>
    <xdr:to>
      <xdr:col>7</xdr:col>
      <xdr:colOff>747605</xdr:colOff>
      <xdr:row>19</xdr:row>
      <xdr:rowOff>210563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99C2D8-2B63-49B8-80A0-C58208222391}"/>
            </a:ext>
          </a:extLst>
        </xdr:cNvPr>
        <xdr:cNvSpPr txBox="1"/>
      </xdr:nvSpPr>
      <xdr:spPr>
        <a:xfrm rot="19573906">
          <a:off x="2039470" y="2734235"/>
          <a:ext cx="5442870" cy="1857828"/>
        </a:xfrm>
        <a:prstGeom prst="rect">
          <a:avLst/>
        </a:prstGeom>
        <a:solidFill>
          <a:schemeClr val="lt1">
            <a:alpha val="0"/>
          </a:schemeClr>
        </a:solidFill>
        <a:ln w="666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6600" b="1">
              <a:solidFill>
                <a:srgbClr val="FF0000"/>
              </a:solidFill>
            </a:rPr>
            <a:t>작성 필요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358587</xdr:colOff>
      <xdr:row>3</xdr:row>
      <xdr:rowOff>0</xdr:rowOff>
    </xdr:from>
    <xdr:to>
      <xdr:col>14</xdr:col>
      <xdr:colOff>158452</xdr:colOff>
      <xdr:row>18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7160558" y="986118"/>
          <a:ext cx="5268335" cy="2902323"/>
          <a:chOff x="6535270" y="1013012"/>
          <a:chExt cx="4676665" cy="322729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 txBox="1"/>
        </xdr:nvSpPr>
        <xdr:spPr>
          <a:xfrm>
            <a:off x="6535270" y="1882589"/>
            <a:ext cx="1604684" cy="2357717"/>
          </a:xfrm>
          <a:prstGeom prst="rect">
            <a:avLst/>
          </a:prstGeom>
          <a:noFill/>
          <a:ln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 b="1">
                <a:latin typeface="+mn-ea"/>
                <a:ea typeface="+mn-ea"/>
              </a:rPr>
              <a:t>▶ Category</a:t>
            </a:r>
          </a:p>
          <a:p>
            <a:r>
              <a:rPr lang="en-US" altLang="ko-KR" sz="1000">
                <a:latin typeface="+mn-ea"/>
                <a:ea typeface="+mn-ea"/>
              </a:rPr>
              <a:t>     </a:t>
            </a:r>
            <a:r>
              <a:rPr lang="ko-KR" altLang="en-US" sz="1000">
                <a:latin typeface="+mn-ea"/>
                <a:ea typeface="+mn-ea"/>
              </a:rPr>
              <a:t>비가동중 알람발생</a:t>
            </a:r>
            <a:endParaRPr lang="en-US" altLang="ko-KR" sz="1000">
              <a:latin typeface="+mn-ea"/>
              <a:ea typeface="+mn-ea"/>
            </a:endParaRPr>
          </a:p>
          <a:p>
            <a:r>
              <a:rPr lang="en-US" altLang="ko-KR" sz="1000">
                <a:latin typeface="+mn-ea"/>
                <a:ea typeface="+mn-ea"/>
              </a:rPr>
              <a:t>       - 11 : </a:t>
            </a:r>
            <a:r>
              <a:rPr lang="ko-KR" altLang="en-US" sz="1000">
                <a:latin typeface="+mn-ea"/>
                <a:ea typeface="+mn-ea"/>
              </a:rPr>
              <a:t>비가동</a:t>
            </a:r>
          </a:p>
          <a:p>
            <a:r>
              <a:rPr lang="ko-KR" altLang="en-US" sz="1000">
                <a:latin typeface="+mn-ea"/>
                <a:ea typeface="+mn-ea"/>
              </a:rPr>
              <a:t>     경알람</a:t>
            </a:r>
            <a:endParaRPr lang="en-US" altLang="ko-KR" sz="1000">
              <a:latin typeface="+mn-ea"/>
              <a:ea typeface="+mn-ea"/>
            </a:endParaRPr>
          </a:p>
          <a:p>
            <a:r>
              <a:rPr lang="en-US" altLang="ko-KR" sz="1000">
                <a:latin typeface="+mn-ea"/>
                <a:ea typeface="+mn-ea"/>
              </a:rPr>
              <a:t>       - 21 : </a:t>
            </a:r>
            <a:r>
              <a:rPr lang="ko-KR" altLang="en-US" sz="1000">
                <a:latin typeface="+mn-ea"/>
                <a:ea typeface="+mn-ea"/>
              </a:rPr>
              <a:t>경알람</a:t>
            </a:r>
          </a:p>
          <a:p>
            <a:r>
              <a:rPr lang="ko-KR" altLang="en-US" sz="1000">
                <a:latin typeface="+mn-ea"/>
                <a:ea typeface="+mn-ea"/>
              </a:rPr>
              <a:t>     중알람</a:t>
            </a:r>
            <a:endParaRPr lang="en-US" altLang="ko-KR" sz="1000">
              <a:latin typeface="+mn-ea"/>
              <a:ea typeface="+mn-ea"/>
            </a:endParaRPr>
          </a:p>
          <a:p>
            <a:r>
              <a:rPr lang="en-US" altLang="ko-KR" sz="1000">
                <a:latin typeface="+mn-ea"/>
                <a:ea typeface="+mn-ea"/>
              </a:rPr>
              <a:t>       - 31 : </a:t>
            </a:r>
            <a:r>
              <a:rPr lang="ko-KR" altLang="en-US" sz="1000">
                <a:latin typeface="+mn-ea"/>
                <a:ea typeface="+mn-ea"/>
              </a:rPr>
              <a:t>품질</a:t>
            </a:r>
          </a:p>
          <a:p>
            <a:r>
              <a:rPr lang="ko-KR" altLang="en-US" sz="1000">
                <a:latin typeface="+mn-ea"/>
                <a:ea typeface="+mn-ea"/>
              </a:rPr>
              <a:t>       </a:t>
            </a:r>
            <a:r>
              <a:rPr lang="en-US" altLang="ko-KR" sz="1000">
                <a:latin typeface="+mn-ea"/>
                <a:ea typeface="+mn-ea"/>
              </a:rPr>
              <a:t>- 32 : </a:t>
            </a:r>
            <a:r>
              <a:rPr lang="ko-KR" altLang="en-US" sz="1000">
                <a:latin typeface="+mn-ea"/>
                <a:ea typeface="+mn-ea"/>
              </a:rPr>
              <a:t>생산</a:t>
            </a:r>
          </a:p>
          <a:p>
            <a:r>
              <a:rPr lang="ko-KR" altLang="en-US" sz="1000">
                <a:latin typeface="+mn-ea"/>
                <a:ea typeface="+mn-ea"/>
              </a:rPr>
              <a:t>       </a:t>
            </a:r>
            <a:r>
              <a:rPr lang="en-US" altLang="ko-KR" sz="1000">
                <a:latin typeface="+mn-ea"/>
                <a:ea typeface="+mn-ea"/>
              </a:rPr>
              <a:t>- 33 : </a:t>
            </a:r>
            <a:r>
              <a:rPr lang="ko-KR" altLang="en-US" sz="1000">
                <a:latin typeface="+mn-ea"/>
                <a:ea typeface="+mn-ea"/>
              </a:rPr>
              <a:t>설비 </a:t>
            </a:r>
            <a:r>
              <a:rPr lang="en-US" altLang="ko-KR" sz="1000">
                <a:latin typeface="+mn-ea"/>
                <a:ea typeface="+mn-ea"/>
              </a:rPr>
              <a:t>Trouble</a:t>
            </a:r>
          </a:p>
          <a:p>
            <a:r>
              <a:rPr lang="en-US" altLang="ko-KR" sz="1000">
                <a:latin typeface="+mn-ea"/>
                <a:ea typeface="+mn-ea"/>
              </a:rPr>
              <a:t>       - ...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 txBox="1"/>
        </xdr:nvSpPr>
        <xdr:spPr>
          <a:xfrm>
            <a:off x="6535270" y="1013012"/>
            <a:ext cx="4676665" cy="680699"/>
          </a:xfrm>
          <a:prstGeom prst="rect">
            <a:avLst/>
          </a:prstGeom>
          <a:noFill/>
          <a:ln>
            <a:solidFill>
              <a:schemeClr val="tx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1100" b="1"/>
              <a:t>▶ Prohibited character(</a:t>
            </a:r>
            <a:r>
              <a:rPr lang="ko-KR" altLang="en-US" sz="1100" b="1"/>
              <a:t>금지문자</a:t>
            </a:r>
            <a:r>
              <a:rPr lang="en-US" altLang="ko-KR" sz="1100" b="1"/>
              <a:t>)</a:t>
            </a:r>
          </a:p>
          <a:p>
            <a:r>
              <a:rPr lang="en-US" altLang="ko-KR" sz="1100"/>
              <a:t>    Characters not described below is prohibited</a:t>
            </a:r>
          </a:p>
          <a:p>
            <a:r>
              <a:rPr lang="en-US" altLang="ko-KR" sz="1100"/>
              <a:t>    • All rest characters except English, (“), (-), (_), (=), (+), (*), (`) are prohibited.</a:t>
            </a:r>
            <a:endParaRPr lang="ko-KR" altLang="en-US" sz="1100"/>
          </a:p>
        </xdr:txBody>
      </xdr:sp>
    </xdr:grpSp>
    <xdr:clientData/>
  </xdr:twoCellAnchor>
  <xdr:twoCellAnchor>
    <xdr:from>
      <xdr:col>2</xdr:col>
      <xdr:colOff>235324</xdr:colOff>
      <xdr:row>18</xdr:row>
      <xdr:rowOff>11206</xdr:rowOff>
    </xdr:from>
    <xdr:to>
      <xdr:col>5</xdr:col>
      <xdr:colOff>489870</xdr:colOff>
      <xdr:row>29</xdr:row>
      <xdr:rowOff>20063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74821E-4D4C-4C9D-842B-458007E4CEFA}"/>
            </a:ext>
          </a:extLst>
        </xdr:cNvPr>
        <xdr:cNvSpPr txBox="1"/>
      </xdr:nvSpPr>
      <xdr:spPr>
        <a:xfrm rot="19573906">
          <a:off x="1165412" y="3899647"/>
          <a:ext cx="5442870" cy="1857828"/>
        </a:xfrm>
        <a:prstGeom prst="rect">
          <a:avLst/>
        </a:prstGeom>
        <a:solidFill>
          <a:schemeClr val="lt1">
            <a:alpha val="0"/>
          </a:schemeClr>
        </a:solidFill>
        <a:ln w="666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6600" b="1">
              <a:solidFill>
                <a:srgbClr val="FF0000"/>
              </a:solidFill>
            </a:rPr>
            <a:t>작성 필요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147.117.75\M30%20INLINE%20PreTask\Users\Administrator\AppData\Local\Microsoft\Windows\Temporary%20Internet%20Files\Content.Outlook\H2O1TP6D\LGE_GMES_DE_&#45800;&#50948;%20&#53580;&#49828;&#53944;_&#44208;&#54632;&#44288;&#47532;&#45824;&#51109;_Template_v1.0_201303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개정이력"/>
      <sheetName val="Summary-도메인"/>
      <sheetName val="Summary-모듈"/>
      <sheetName val="결함관리대장"/>
      <sheetName val="참조-작성가이드"/>
      <sheetName val="참조-기준코드"/>
    </sheetNames>
    <sheetDataSet>
      <sheetData sheetId="0" refreshError="1"/>
      <sheetData sheetId="1"/>
      <sheetData sheetId="2" refreshError="1"/>
      <sheetData sheetId="3" refreshError="1"/>
      <sheetData sheetId="4">
        <row r="2">
          <cell r="B2" t="str">
            <v>도메인</v>
          </cell>
          <cell r="C2" t="str">
            <v>모듈</v>
          </cell>
          <cell r="F2" t="str">
            <v>상태</v>
          </cell>
        </row>
        <row r="4">
          <cell r="B4" t="str">
            <v>GV</v>
          </cell>
          <cell r="C4" t="str">
            <v>KPI</v>
          </cell>
          <cell r="F4" t="str">
            <v>조치완료</v>
          </cell>
        </row>
        <row r="5">
          <cell r="B5" t="str">
            <v>LV</v>
          </cell>
          <cell r="C5" t="str">
            <v>SFC</v>
          </cell>
          <cell r="F5" t="str">
            <v>조치완료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</a:spPr>
      <a:bodyPr vertOverflow="clip" horzOverflow="clip" rtlCol="0" anchor="ctr"/>
      <a:lstStyle>
        <a:defPPr algn="ctr">
          <a:defRPr sz="20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"/>
  <sheetViews>
    <sheetView zoomScale="85" zoomScaleNormal="85" workbookViewId="0">
      <selection activeCell="I17" sqref="I17"/>
    </sheetView>
  </sheetViews>
  <sheetFormatPr defaultColWidth="4.77734375" defaultRowHeight="18" customHeight="1"/>
  <cols>
    <col min="1" max="1" width="3.6640625" style="74" customWidth="1"/>
    <col min="2" max="9" width="4.33203125" style="74" customWidth="1"/>
    <col min="10" max="13" width="7.44140625" style="74" customWidth="1"/>
    <col min="14" max="23" width="4.33203125" style="74" customWidth="1"/>
    <col min="24" max="24" width="4.77734375" style="74" customWidth="1"/>
    <col min="25" max="25" width="4.33203125" style="74" customWidth="1"/>
    <col min="26" max="27" width="4.77734375" style="74"/>
    <col min="28" max="28" width="3.77734375" style="74" customWidth="1"/>
    <col min="29" max="16384" width="4.77734375" style="74"/>
  </cols>
  <sheetData>
    <row r="1" spans="1:34" ht="18" customHeight="1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3"/>
    </row>
    <row r="2" spans="1:34" ht="18" customHeight="1">
      <c r="A2" s="75"/>
      <c r="Y2" s="76"/>
    </row>
    <row r="3" spans="1:34" ht="18" customHeight="1">
      <c r="A3" s="75"/>
      <c r="Y3" s="76"/>
    </row>
    <row r="4" spans="1:34" ht="18" customHeight="1">
      <c r="A4" s="75"/>
      <c r="H4" s="437" t="s">
        <v>728</v>
      </c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341"/>
      <c r="Y4" s="76"/>
    </row>
    <row r="5" spans="1:34" ht="18" customHeight="1">
      <c r="A5" s="75"/>
      <c r="H5" s="437"/>
      <c r="I5" s="437"/>
      <c r="J5" s="437"/>
      <c r="K5" s="437"/>
      <c r="L5" s="437"/>
      <c r="M5" s="437"/>
      <c r="N5" s="437"/>
      <c r="O5" s="437"/>
      <c r="P5" s="437"/>
      <c r="Q5" s="437"/>
      <c r="R5" s="437"/>
      <c r="S5" s="437"/>
      <c r="T5" s="437"/>
      <c r="U5" s="437"/>
      <c r="V5" s="437"/>
      <c r="W5" s="437"/>
      <c r="X5" s="341"/>
      <c r="Y5" s="76"/>
    </row>
    <row r="6" spans="1:34" ht="18" customHeight="1">
      <c r="A6" s="75"/>
      <c r="Y6" s="76"/>
    </row>
    <row r="7" spans="1:34" ht="18" customHeight="1">
      <c r="A7" s="77"/>
      <c r="B7" s="78"/>
      <c r="I7" s="79"/>
      <c r="L7" s="80"/>
      <c r="M7" s="80"/>
      <c r="Y7" s="76"/>
      <c r="AB7" s="80"/>
    </row>
    <row r="8" spans="1:34" ht="18" customHeight="1">
      <c r="A8" s="342"/>
      <c r="B8" s="343"/>
      <c r="C8" s="343"/>
      <c r="D8" s="343"/>
      <c r="E8" s="343"/>
      <c r="F8" s="344"/>
      <c r="G8" s="438" t="s">
        <v>729</v>
      </c>
      <c r="H8" s="438"/>
      <c r="I8" s="438"/>
      <c r="J8" s="438"/>
      <c r="K8" s="438"/>
      <c r="L8" s="438"/>
      <c r="M8" s="438"/>
      <c r="N8" s="438"/>
      <c r="O8" s="438"/>
      <c r="P8" s="438"/>
      <c r="Q8" s="438"/>
      <c r="R8" s="438"/>
      <c r="S8" s="438"/>
      <c r="T8" s="438"/>
      <c r="U8" s="438"/>
      <c r="V8" s="438"/>
      <c r="W8" s="438"/>
      <c r="X8" s="86"/>
      <c r="Y8" s="76"/>
      <c r="AB8" s="80"/>
    </row>
    <row r="9" spans="1:34" ht="18" customHeight="1">
      <c r="A9" s="342"/>
      <c r="B9" s="343"/>
      <c r="C9" s="343"/>
      <c r="D9" s="343"/>
      <c r="E9" s="343"/>
      <c r="F9" s="344"/>
      <c r="G9" s="438"/>
      <c r="H9" s="438"/>
      <c r="I9" s="438"/>
      <c r="J9" s="438"/>
      <c r="K9" s="438"/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438"/>
      <c r="X9" s="86"/>
      <c r="Y9" s="76"/>
      <c r="AB9" s="81"/>
      <c r="AE9" s="82"/>
      <c r="AF9" s="82"/>
      <c r="AG9" s="82"/>
      <c r="AH9" s="80"/>
    </row>
    <row r="10" spans="1:34" ht="18" customHeight="1">
      <c r="A10" s="342"/>
      <c r="B10" s="345"/>
      <c r="C10" s="343"/>
      <c r="D10" s="343"/>
      <c r="E10" s="343"/>
      <c r="F10" s="346"/>
      <c r="G10" s="346"/>
      <c r="H10" s="347"/>
      <c r="I10" s="347"/>
      <c r="J10" s="345"/>
      <c r="K10" s="345"/>
      <c r="L10" s="345"/>
      <c r="M10" s="343"/>
      <c r="N10" s="345"/>
      <c r="O10" s="345"/>
      <c r="P10" s="345"/>
      <c r="Q10" s="345"/>
      <c r="R10" s="345"/>
      <c r="S10" s="345"/>
      <c r="T10" s="348"/>
      <c r="U10" s="343"/>
      <c r="V10" s="343"/>
      <c r="W10" s="343"/>
      <c r="Y10" s="76"/>
      <c r="AA10" s="87"/>
      <c r="AB10" s="80"/>
    </row>
    <row r="11" spans="1:34" ht="18" customHeight="1">
      <c r="A11" s="75"/>
      <c r="B11" s="83"/>
      <c r="F11" s="84"/>
      <c r="G11" s="84"/>
      <c r="H11" s="85"/>
      <c r="I11" s="85"/>
      <c r="J11" s="83"/>
      <c r="K11" s="83"/>
      <c r="L11" s="443" t="str">
        <f ca="1">"문서번호 : " &amp; REPLACE(LEFT(CELL("filename",A1),FIND(".xls",CELL("filename",A1))-1),1,FIND("[",CELL("filename",A1)),"")</f>
        <v>문서번호 : (배포용)JAHWA_VTask_Equipment_Counter_Specification_for_PC-TYPE(XML)_DFA_AVI(시냅스이미징)_Ver1.1.0_260226</v>
      </c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76"/>
      <c r="AB11" s="80"/>
    </row>
    <row r="12" spans="1:34" ht="18" customHeight="1">
      <c r="A12" s="77"/>
      <c r="F12" s="84"/>
      <c r="G12" s="84"/>
      <c r="H12" s="85"/>
      <c r="I12" s="85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6"/>
      <c r="V12" s="441" t="s">
        <v>730</v>
      </c>
      <c r="W12" s="441"/>
      <c r="X12" s="441"/>
      <c r="Y12" s="76"/>
      <c r="AB12" s="80"/>
    </row>
    <row r="13" spans="1:34" ht="18" customHeight="1">
      <c r="A13" s="77"/>
      <c r="F13" s="81"/>
      <c r="G13" s="81"/>
      <c r="H13" s="81"/>
      <c r="I13" s="81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6"/>
      <c r="Y13" s="76"/>
      <c r="AB13" s="80"/>
    </row>
    <row r="14" spans="1:34" ht="18" customHeight="1">
      <c r="A14" s="77"/>
      <c r="F14" s="81"/>
      <c r="G14" s="81"/>
      <c r="H14" s="81"/>
      <c r="I14" s="81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6"/>
      <c r="Y14" s="76"/>
      <c r="AB14" s="80"/>
    </row>
    <row r="15" spans="1:34" ht="18" customHeight="1">
      <c r="A15" s="77"/>
      <c r="F15" s="81"/>
      <c r="G15" s="81"/>
      <c r="H15" s="81"/>
      <c r="I15" s="81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6"/>
      <c r="Y15" s="76"/>
      <c r="AB15" s="80"/>
    </row>
    <row r="16" spans="1:34" ht="18" customHeight="1">
      <c r="A16" s="77"/>
      <c r="F16" s="81"/>
      <c r="G16" s="81"/>
      <c r="H16" s="81"/>
      <c r="I16" s="81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6"/>
      <c r="Y16" s="76"/>
      <c r="AB16" s="80"/>
    </row>
    <row r="17" spans="1:34" ht="18" customHeight="1">
      <c r="A17" s="77"/>
      <c r="F17" s="81"/>
      <c r="G17" s="81"/>
      <c r="H17" s="81"/>
      <c r="I17" s="81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6"/>
      <c r="Y17" s="76"/>
      <c r="AB17" s="80"/>
    </row>
    <row r="18" spans="1:34" ht="18" customHeight="1">
      <c r="A18" s="77"/>
      <c r="F18" s="81"/>
      <c r="G18" s="81"/>
      <c r="H18" s="81"/>
      <c r="I18" s="81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  <c r="Y18" s="76"/>
      <c r="AB18" s="81"/>
      <c r="AE18" s="82"/>
      <c r="AF18" s="82"/>
      <c r="AG18" s="82"/>
      <c r="AH18" s="80"/>
    </row>
    <row r="19" spans="1:34" ht="18" customHeight="1">
      <c r="A19" s="77"/>
      <c r="F19" s="81"/>
      <c r="G19" s="81"/>
      <c r="H19" s="81"/>
      <c r="I19" s="81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442" t="s">
        <v>731</v>
      </c>
      <c r="U19" s="442"/>
      <c r="V19" s="442"/>
      <c r="W19" s="442"/>
      <c r="X19" s="442"/>
      <c r="Y19" s="76"/>
      <c r="AB19" s="81"/>
      <c r="AE19" s="82"/>
      <c r="AF19" s="82"/>
      <c r="AG19" s="82"/>
      <c r="AH19" s="80"/>
    </row>
    <row r="20" spans="1:34" ht="18" customHeight="1">
      <c r="A20" s="77"/>
      <c r="F20" s="85"/>
      <c r="G20" s="85"/>
      <c r="H20" s="85"/>
      <c r="I20" s="85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Y20" s="76"/>
      <c r="AB20" s="81"/>
      <c r="AE20" s="82"/>
      <c r="AF20" s="82"/>
      <c r="AG20" s="82"/>
      <c r="AH20" s="80"/>
    </row>
    <row r="21" spans="1:34" ht="18" customHeight="1" thickBot="1">
      <c r="A21" s="77"/>
      <c r="F21" s="85"/>
      <c r="G21" s="85"/>
      <c r="H21" s="85"/>
      <c r="I21" s="85"/>
      <c r="J21" s="89"/>
      <c r="K21" s="89"/>
      <c r="L21" s="89"/>
      <c r="M21" s="89"/>
      <c r="N21" s="81"/>
      <c r="O21" s="81"/>
      <c r="P21" s="81"/>
      <c r="Q21" s="81"/>
      <c r="R21" s="81"/>
      <c r="S21" s="81"/>
      <c r="T21" s="81"/>
      <c r="U21" s="81"/>
      <c r="V21" s="81"/>
      <c r="W21" s="83"/>
      <c r="Y21" s="90"/>
      <c r="Z21" s="82"/>
      <c r="AA21" s="82"/>
      <c r="AB21" s="80"/>
    </row>
    <row r="22" spans="1:34" ht="18" customHeight="1">
      <c r="A22" s="77"/>
      <c r="C22" s="451" t="s">
        <v>210</v>
      </c>
      <c r="D22" s="448"/>
      <c r="E22" s="444" t="s">
        <v>5</v>
      </c>
      <c r="F22" s="445"/>
      <c r="G22" s="446"/>
      <c r="H22" s="447" t="s">
        <v>212</v>
      </c>
      <c r="I22" s="448"/>
      <c r="J22" s="447" t="s">
        <v>627</v>
      </c>
      <c r="K22" s="449"/>
      <c r="L22" s="449"/>
      <c r="M22" s="450"/>
      <c r="N22" s="81"/>
      <c r="O22" s="81"/>
      <c r="P22" s="81"/>
      <c r="Q22" s="81"/>
      <c r="R22" s="81"/>
      <c r="S22" s="81"/>
      <c r="T22" s="81"/>
      <c r="U22" s="81"/>
      <c r="Y22" s="76"/>
    </row>
    <row r="23" spans="1:34" ht="18" customHeight="1">
      <c r="A23" s="77"/>
      <c r="C23" s="421" t="s">
        <v>213</v>
      </c>
      <c r="D23" s="422"/>
      <c r="E23" s="423" t="s">
        <v>5</v>
      </c>
      <c r="F23" s="424"/>
      <c r="G23" s="425"/>
      <c r="H23" s="426" t="s">
        <v>211</v>
      </c>
      <c r="I23" s="422"/>
      <c r="J23" s="426" t="s">
        <v>628</v>
      </c>
      <c r="K23" s="427"/>
      <c r="L23" s="427"/>
      <c r="M23" s="428"/>
      <c r="U23" s="91"/>
      <c r="Y23" s="76"/>
    </row>
    <row r="24" spans="1:34" ht="18" customHeight="1">
      <c r="A24" s="77"/>
      <c r="C24" s="421" t="s">
        <v>213</v>
      </c>
      <c r="D24" s="422"/>
      <c r="E24" s="423" t="s">
        <v>6</v>
      </c>
      <c r="F24" s="424"/>
      <c r="G24" s="425"/>
      <c r="H24" s="426" t="s">
        <v>214</v>
      </c>
      <c r="I24" s="422"/>
      <c r="J24" s="426" t="s">
        <v>629</v>
      </c>
      <c r="K24" s="427"/>
      <c r="L24" s="427"/>
      <c r="M24" s="428"/>
      <c r="U24" s="91"/>
      <c r="Y24" s="76"/>
    </row>
    <row r="25" spans="1:34" ht="18" customHeight="1" thickBot="1">
      <c r="A25" s="77"/>
      <c r="C25" s="429" t="s">
        <v>215</v>
      </c>
      <c r="D25" s="430"/>
      <c r="E25" s="431" t="s">
        <v>733</v>
      </c>
      <c r="F25" s="432"/>
      <c r="G25" s="433"/>
      <c r="H25" s="434" t="s">
        <v>216</v>
      </c>
      <c r="I25" s="430"/>
      <c r="J25" s="434" t="s">
        <v>734</v>
      </c>
      <c r="K25" s="435"/>
      <c r="L25" s="435"/>
      <c r="M25" s="436"/>
      <c r="U25" s="91"/>
      <c r="Y25" s="76"/>
    </row>
    <row r="26" spans="1:34" ht="18" customHeight="1">
      <c r="A26" s="77"/>
      <c r="N26" s="79"/>
      <c r="Y26" s="76"/>
    </row>
    <row r="27" spans="1:34" ht="18" customHeight="1">
      <c r="A27" s="77"/>
      <c r="G27" s="439" t="s">
        <v>217</v>
      </c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0"/>
      <c r="Y27" s="76"/>
    </row>
    <row r="28" spans="1:34" ht="18" customHeight="1">
      <c r="A28" s="77"/>
      <c r="G28" s="440"/>
      <c r="H28" s="440"/>
      <c r="I28" s="440"/>
      <c r="J28" s="440"/>
      <c r="K28" s="440"/>
      <c r="L28" s="440"/>
      <c r="M28" s="440"/>
      <c r="N28" s="440"/>
      <c r="O28" s="440"/>
      <c r="P28" s="440"/>
      <c r="Q28" s="440"/>
      <c r="R28" s="440"/>
      <c r="S28" s="440"/>
      <c r="Y28" s="76"/>
    </row>
    <row r="29" spans="1:34" ht="18" customHeight="1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4"/>
    </row>
  </sheetData>
  <mergeCells count="22">
    <mergeCell ref="C23:D23"/>
    <mergeCell ref="E23:G23"/>
    <mergeCell ref="H23:I23"/>
    <mergeCell ref="J23:M23"/>
    <mergeCell ref="C22:D22"/>
    <mergeCell ref="H4:W5"/>
    <mergeCell ref="G8:W9"/>
    <mergeCell ref="G27:S28"/>
    <mergeCell ref="V12:X12"/>
    <mergeCell ref="T19:X19"/>
    <mergeCell ref="L11:X11"/>
    <mergeCell ref="E22:G22"/>
    <mergeCell ref="H22:I22"/>
    <mergeCell ref="J22:M22"/>
    <mergeCell ref="C24:D24"/>
    <mergeCell ref="E24:G24"/>
    <mergeCell ref="H24:I24"/>
    <mergeCell ref="J24:M24"/>
    <mergeCell ref="C25:D25"/>
    <mergeCell ref="E25:G25"/>
    <mergeCell ref="H25:I25"/>
    <mergeCell ref="J25:M25"/>
  </mergeCells>
  <phoneticPr fontId="2" type="noConversion"/>
  <printOptions horizontalCentered="1"/>
  <pageMargins left="0.31496062992125984" right="0.31496062992125984" top="0.31496062992125984" bottom="0.47244094488188981" header="0.51181102362204722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="85" zoomScaleNormal="85" workbookViewId="0">
      <selection activeCell="C10" sqref="C10"/>
    </sheetView>
  </sheetViews>
  <sheetFormatPr defaultColWidth="8.88671875" defaultRowHeight="18" customHeight="1"/>
  <cols>
    <col min="1" max="1" width="2.77734375" style="20" customWidth="1"/>
    <col min="2" max="2" width="4.77734375" style="32" customWidth="1"/>
    <col min="3" max="3" width="12" style="33" customWidth="1"/>
    <col min="4" max="4" width="12.77734375" style="33" customWidth="1"/>
    <col min="5" max="5" width="56.88671875" style="20" customWidth="1"/>
    <col min="6" max="6" width="12.77734375" style="32" customWidth="1"/>
    <col min="7" max="7" width="9.77734375" style="32" customWidth="1"/>
    <col min="8" max="8" width="2.77734375" style="20" customWidth="1"/>
    <col min="9" max="16384" width="8.88671875" style="20"/>
  </cols>
  <sheetData>
    <row r="1" spans="1:8" s="5" customFormat="1" ht="18" customHeight="1" thickBot="1">
      <c r="A1" s="1"/>
      <c r="B1" s="2"/>
      <c r="C1" s="2"/>
      <c r="D1" s="2"/>
      <c r="E1" s="2"/>
      <c r="F1" s="3"/>
      <c r="G1" s="41" t="str">
        <f>표지!H4 &amp; " " &amp; 표지!B8</f>
        <v xml:space="preserve">[JAHWA][SI][설비IF]광학CM_VTask_설비온라인 </v>
      </c>
      <c r="H1" s="4"/>
    </row>
    <row r="2" spans="1:8" s="8" customFormat="1" ht="18" customHeight="1" thickTop="1">
      <c r="A2" s="6"/>
      <c r="B2" s="452"/>
      <c r="C2" s="452"/>
      <c r="D2" s="452"/>
      <c r="E2" s="452"/>
      <c r="F2" s="452"/>
      <c r="G2" s="452"/>
      <c r="H2" s="7"/>
    </row>
    <row r="3" spans="1:8" s="8" customFormat="1" ht="18" customHeight="1">
      <c r="A3" s="6"/>
      <c r="B3" s="9"/>
      <c r="C3" s="9"/>
      <c r="D3" s="9"/>
      <c r="E3" s="9" t="s">
        <v>2</v>
      </c>
      <c r="F3" s="9"/>
      <c r="G3" s="9"/>
      <c r="H3" s="7"/>
    </row>
    <row r="4" spans="1:8" s="5" customFormat="1" ht="18" customHeight="1">
      <c r="A4" s="10"/>
      <c r="B4" s="11"/>
      <c r="C4" s="11"/>
      <c r="D4" s="11"/>
      <c r="E4" s="11"/>
      <c r="F4" s="12"/>
      <c r="G4" s="12"/>
      <c r="H4" s="13"/>
    </row>
    <row r="5" spans="1:8" s="5" customFormat="1" ht="25.9" customHeight="1">
      <c r="A5" s="10"/>
      <c r="B5" s="211" t="s">
        <v>7</v>
      </c>
      <c r="C5" s="211" t="s">
        <v>8</v>
      </c>
      <c r="D5" s="212" t="s">
        <v>9</v>
      </c>
      <c r="E5" s="212" t="s">
        <v>3</v>
      </c>
      <c r="F5" s="211" t="s">
        <v>0</v>
      </c>
      <c r="G5" s="213" t="s">
        <v>1</v>
      </c>
      <c r="H5" s="13"/>
    </row>
    <row r="6" spans="1:8" ht="21" customHeight="1">
      <c r="A6" s="14"/>
      <c r="B6" s="15" t="s">
        <v>4</v>
      </c>
      <c r="C6" s="16">
        <v>44960</v>
      </c>
      <c r="D6" s="40" t="s">
        <v>10</v>
      </c>
      <c r="E6" s="17" t="s">
        <v>11</v>
      </c>
      <c r="F6" s="18" t="s">
        <v>627</v>
      </c>
      <c r="G6" s="34" t="s">
        <v>629</v>
      </c>
      <c r="H6" s="19"/>
    </row>
    <row r="7" spans="1:8" ht="108">
      <c r="A7" s="14"/>
      <c r="B7" s="15" t="s">
        <v>735</v>
      </c>
      <c r="C7" s="16">
        <v>46079</v>
      </c>
      <c r="D7" s="16" t="s">
        <v>10</v>
      </c>
      <c r="E7" s="397" t="s">
        <v>737</v>
      </c>
      <c r="F7" s="18" t="s">
        <v>736</v>
      </c>
      <c r="G7" s="34" t="s">
        <v>732</v>
      </c>
      <c r="H7" s="19"/>
    </row>
    <row r="8" spans="1:8" ht="21" customHeight="1">
      <c r="A8" s="14"/>
      <c r="B8" s="15"/>
      <c r="C8" s="16"/>
      <c r="D8" s="16"/>
      <c r="E8" s="17"/>
      <c r="F8" s="18"/>
      <c r="G8" s="34"/>
      <c r="H8" s="19"/>
    </row>
    <row r="9" spans="1:8" ht="21" customHeight="1">
      <c r="A9" s="14"/>
      <c r="B9" s="15"/>
      <c r="C9" s="16"/>
      <c r="D9" s="16"/>
      <c r="E9" s="17"/>
      <c r="F9" s="18"/>
      <c r="G9" s="34"/>
      <c r="H9" s="19"/>
    </row>
    <row r="10" spans="1:8" ht="21" customHeight="1">
      <c r="A10" s="14"/>
      <c r="B10" s="15"/>
      <c r="C10" s="16"/>
      <c r="D10" s="16"/>
      <c r="E10" s="17"/>
      <c r="F10" s="18"/>
      <c r="G10" s="34"/>
      <c r="H10" s="19"/>
    </row>
    <row r="11" spans="1:8" ht="21" customHeight="1">
      <c r="A11" s="14"/>
      <c r="B11" s="15"/>
      <c r="C11" s="16"/>
      <c r="D11" s="16"/>
      <c r="E11" s="17"/>
      <c r="F11" s="18"/>
      <c r="G11" s="34"/>
      <c r="H11" s="19"/>
    </row>
    <row r="12" spans="1:8" ht="21" customHeight="1">
      <c r="A12" s="14"/>
      <c r="B12" s="15"/>
      <c r="C12" s="16"/>
      <c r="D12" s="16"/>
      <c r="E12" s="17"/>
      <c r="F12" s="18"/>
      <c r="G12" s="34"/>
      <c r="H12" s="19"/>
    </row>
    <row r="13" spans="1:8" ht="21" customHeight="1">
      <c r="A13" s="14"/>
      <c r="B13" s="15"/>
      <c r="C13" s="16"/>
      <c r="D13" s="16"/>
      <c r="E13" s="17"/>
      <c r="F13" s="18"/>
      <c r="G13" s="34"/>
      <c r="H13" s="19"/>
    </row>
    <row r="14" spans="1:8" ht="21" customHeight="1">
      <c r="A14" s="14"/>
      <c r="B14" s="15"/>
      <c r="C14" s="16"/>
      <c r="D14" s="16"/>
      <c r="E14" s="17"/>
      <c r="F14" s="18"/>
      <c r="G14" s="34"/>
      <c r="H14" s="19"/>
    </row>
    <row r="15" spans="1:8" ht="21" customHeight="1">
      <c r="A15" s="14"/>
      <c r="B15" s="15"/>
      <c r="C15" s="16"/>
      <c r="D15" s="16"/>
      <c r="E15" s="17"/>
      <c r="F15" s="18"/>
      <c r="G15" s="34"/>
      <c r="H15" s="19"/>
    </row>
    <row r="16" spans="1:8" ht="21" customHeight="1">
      <c r="A16" s="14"/>
      <c r="B16" s="15"/>
      <c r="C16" s="16"/>
      <c r="D16" s="16"/>
      <c r="E16" s="17"/>
      <c r="F16" s="18"/>
      <c r="G16" s="34"/>
      <c r="H16" s="19"/>
    </row>
    <row r="17" spans="1:8" ht="21" customHeight="1">
      <c r="A17" s="14"/>
      <c r="B17" s="15"/>
      <c r="C17" s="16"/>
      <c r="D17" s="16"/>
      <c r="E17" s="17"/>
      <c r="F17" s="18"/>
      <c r="G17" s="34"/>
      <c r="H17" s="19"/>
    </row>
    <row r="18" spans="1:8" ht="21" customHeight="1">
      <c r="A18" s="14"/>
      <c r="B18" s="15"/>
      <c r="C18" s="16"/>
      <c r="D18" s="16"/>
      <c r="E18" s="17"/>
      <c r="F18" s="18"/>
      <c r="G18" s="34"/>
      <c r="H18" s="19"/>
    </row>
    <row r="19" spans="1:8" ht="21" customHeight="1">
      <c r="A19" s="14"/>
      <c r="B19" s="15"/>
      <c r="C19" s="16"/>
      <c r="D19" s="16"/>
      <c r="E19" s="17"/>
      <c r="F19" s="18"/>
      <c r="G19" s="34"/>
      <c r="H19" s="19"/>
    </row>
    <row r="20" spans="1:8" ht="21" customHeight="1">
      <c r="A20" s="14"/>
      <c r="B20" s="15"/>
      <c r="C20" s="16"/>
      <c r="D20" s="16"/>
      <c r="E20" s="17"/>
      <c r="F20" s="18"/>
      <c r="G20" s="34"/>
      <c r="H20" s="19"/>
    </row>
    <row r="21" spans="1:8" ht="21" customHeight="1">
      <c r="A21" s="14"/>
      <c r="B21" s="15"/>
      <c r="C21" s="16"/>
      <c r="D21" s="16"/>
      <c r="E21" s="17"/>
      <c r="F21" s="18"/>
      <c r="G21" s="34"/>
      <c r="H21" s="19"/>
    </row>
    <row r="22" spans="1:8" ht="21" customHeight="1">
      <c r="A22" s="14"/>
      <c r="B22" s="15"/>
      <c r="C22" s="16"/>
      <c r="D22" s="16"/>
      <c r="E22" s="17"/>
      <c r="F22" s="18"/>
      <c r="G22" s="34"/>
      <c r="H22" s="19"/>
    </row>
    <row r="23" spans="1:8" ht="21" customHeight="1">
      <c r="A23" s="14"/>
      <c r="B23" s="15"/>
      <c r="C23" s="16"/>
      <c r="D23" s="16"/>
      <c r="E23" s="17"/>
      <c r="F23" s="18"/>
      <c r="G23" s="34"/>
      <c r="H23" s="19"/>
    </row>
    <row r="24" spans="1:8" ht="21" customHeight="1" thickBot="1">
      <c r="A24" s="14"/>
      <c r="B24" s="35"/>
      <c r="C24" s="36"/>
      <c r="D24" s="36"/>
      <c r="E24" s="37"/>
      <c r="F24" s="38"/>
      <c r="G24" s="39"/>
      <c r="H24" s="19"/>
    </row>
    <row r="25" spans="1:8" ht="18" customHeight="1" thickBot="1">
      <c r="A25" s="14"/>
      <c r="B25" s="21"/>
      <c r="C25" s="22"/>
      <c r="D25" s="22"/>
      <c r="E25" s="23"/>
      <c r="F25" s="21"/>
      <c r="G25" s="21"/>
      <c r="H25" s="19"/>
    </row>
    <row r="26" spans="1:8" ht="18" customHeight="1" thickTop="1">
      <c r="A26" s="14"/>
      <c r="B26" s="24"/>
      <c r="C26" s="25"/>
      <c r="D26" s="25"/>
      <c r="E26" s="26"/>
      <c r="F26" s="24"/>
      <c r="G26" s="24"/>
      <c r="H26" s="19"/>
    </row>
    <row r="27" spans="1:8" ht="18" customHeight="1">
      <c r="A27" s="27"/>
      <c r="B27" s="28"/>
      <c r="C27" s="29"/>
      <c r="D27" s="29"/>
      <c r="E27" s="30"/>
      <c r="F27" s="28"/>
      <c r="G27" s="28"/>
      <c r="H27" s="31"/>
    </row>
  </sheetData>
  <mergeCells count="1">
    <mergeCell ref="B2:G2"/>
  </mergeCells>
  <phoneticPr fontId="2" type="noConversion"/>
  <printOptions horizontalCentered="1"/>
  <pageMargins left="0.31496062992125984" right="0.31496062992125984" top="0.31496062992125984" bottom="0.47244094488188981" header="0.19685039370078741" footer="0.19685039370078741"/>
  <pageSetup paperSize="9" orientation="landscape" horizontalDpi="4294967294" verticalDpi="4294967294" r:id="rId1"/>
  <headerFooter alignWithMargins="0"/>
  <ignoredErrors>
    <ignoredError sqref="B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3"/>
  <sheetViews>
    <sheetView showGridLines="0" zoomScaleNormal="100" workbookViewId="0"/>
  </sheetViews>
  <sheetFormatPr defaultColWidth="8.77734375" defaultRowHeight="16.5"/>
  <cols>
    <col min="1" max="1" width="3.5546875" style="62" customWidth="1"/>
    <col min="2" max="2" width="6.6640625" style="62" bestFit="1" customWidth="1"/>
    <col min="3" max="3" width="18.5546875" style="62" customWidth="1"/>
    <col min="4" max="4" width="58.44140625" style="62" customWidth="1"/>
    <col min="5" max="16384" width="8.77734375" style="62"/>
  </cols>
  <sheetData>
    <row r="1" spans="2:4" ht="9" customHeight="1"/>
    <row r="2" spans="2:4" ht="17.25" thickBot="1"/>
    <row r="3" spans="2:4" s="259" customFormat="1" ht="27" customHeight="1" thickBot="1">
      <c r="B3" s="453" t="s">
        <v>52</v>
      </c>
      <c r="C3" s="454"/>
      <c r="D3" s="260"/>
    </row>
    <row r="4" spans="2:4" s="259" customFormat="1" ht="27" customHeight="1">
      <c r="B4" s="455" t="s">
        <v>53</v>
      </c>
      <c r="C4" s="269" t="s">
        <v>54</v>
      </c>
      <c r="D4" s="261"/>
    </row>
    <row r="5" spans="2:4" s="259" customFormat="1" ht="27" customHeight="1">
      <c r="B5" s="456"/>
      <c r="C5" s="270" t="s">
        <v>55</v>
      </c>
      <c r="D5" s="262"/>
    </row>
    <row r="6" spans="2:4" s="259" customFormat="1" ht="27" customHeight="1">
      <c r="B6" s="456"/>
      <c r="C6" s="270" t="s">
        <v>56</v>
      </c>
      <c r="D6" s="316"/>
    </row>
    <row r="7" spans="2:4" s="259" customFormat="1" ht="27" customHeight="1" thickBot="1">
      <c r="B7" s="457"/>
      <c r="C7" s="271" t="s">
        <v>57</v>
      </c>
      <c r="D7" s="263"/>
    </row>
    <row r="8" spans="2:4" s="259" customFormat="1" ht="27" customHeight="1">
      <c r="B8" s="455" t="s">
        <v>58</v>
      </c>
      <c r="C8" s="269" t="s">
        <v>54</v>
      </c>
      <c r="D8" s="264"/>
    </row>
    <row r="9" spans="2:4" s="259" customFormat="1" ht="27" customHeight="1">
      <c r="B9" s="456"/>
      <c r="C9" s="270" t="s">
        <v>55</v>
      </c>
      <c r="D9" s="265"/>
    </row>
    <row r="10" spans="2:4" s="259" customFormat="1" ht="27" customHeight="1">
      <c r="B10" s="456"/>
      <c r="C10" s="270" t="s">
        <v>56</v>
      </c>
      <c r="D10" s="265"/>
    </row>
    <row r="11" spans="2:4" s="259" customFormat="1" ht="27" customHeight="1" thickBot="1">
      <c r="B11" s="457"/>
      <c r="C11" s="271" t="s">
        <v>57</v>
      </c>
      <c r="D11" s="266"/>
    </row>
    <row r="12" spans="2:4" s="259" customFormat="1" ht="27" customHeight="1" thickBot="1">
      <c r="B12" s="453" t="s">
        <v>59</v>
      </c>
      <c r="C12" s="454"/>
      <c r="D12" s="267"/>
    </row>
    <row r="13" spans="2:4" s="259" customFormat="1" ht="27" customHeight="1" thickBot="1">
      <c r="B13" s="458" t="s">
        <v>60</v>
      </c>
      <c r="C13" s="459"/>
      <c r="D13" s="268"/>
    </row>
  </sheetData>
  <mergeCells count="5">
    <mergeCell ref="B3:C3"/>
    <mergeCell ref="B4:B7"/>
    <mergeCell ref="B8:B11"/>
    <mergeCell ref="B12:C12"/>
    <mergeCell ref="B13:C1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27"/>
  <sheetViews>
    <sheetView showGridLines="0" zoomScale="85" zoomScaleNormal="85" workbookViewId="0">
      <selection activeCell="I7" sqref="I7"/>
    </sheetView>
  </sheetViews>
  <sheetFormatPr defaultColWidth="8.88671875" defaultRowHeight="16.5"/>
  <cols>
    <col min="1" max="1" width="1.6640625" style="62" customWidth="1"/>
    <col min="2" max="2" width="11" style="62" customWidth="1"/>
    <col min="3" max="3" width="11.88671875" style="62" customWidth="1"/>
    <col min="4" max="4" width="8.88671875" style="62" customWidth="1"/>
    <col min="5" max="7" width="8.88671875" style="62"/>
    <col min="8" max="8" width="17" style="62" customWidth="1"/>
    <col min="9" max="16384" width="8.88671875" style="62"/>
  </cols>
  <sheetData>
    <row r="1" spans="2:8" ht="9" customHeight="1"/>
    <row r="2" spans="2:8" ht="44.45" customHeight="1">
      <c r="B2" s="460" t="s">
        <v>417</v>
      </c>
      <c r="C2" s="461"/>
      <c r="D2" s="461"/>
      <c r="E2" s="461"/>
      <c r="F2" s="461"/>
      <c r="G2" s="461"/>
      <c r="H2" s="462"/>
    </row>
    <row r="19" spans="3:17" ht="17.25" thickBot="1"/>
    <row r="20" spans="3:17" ht="17.25" thickBot="1">
      <c r="C20" s="214" t="s">
        <v>194</v>
      </c>
      <c r="D20" s="472" t="s">
        <v>195</v>
      </c>
      <c r="E20" s="473"/>
      <c r="F20" s="473"/>
      <c r="G20" s="474"/>
      <c r="M20" s="226" t="s">
        <v>194</v>
      </c>
      <c r="N20" s="464" t="s">
        <v>48</v>
      </c>
      <c r="O20" s="464"/>
      <c r="P20" s="464"/>
      <c r="Q20" s="465"/>
    </row>
    <row r="21" spans="3:17">
      <c r="C21" s="208"/>
      <c r="D21" s="475"/>
      <c r="E21" s="476"/>
      <c r="F21" s="476"/>
      <c r="G21" s="477"/>
      <c r="M21" s="100">
        <v>1</v>
      </c>
      <c r="N21" s="466" t="s">
        <v>219</v>
      </c>
      <c r="O21" s="466"/>
      <c r="P21" s="466"/>
      <c r="Q21" s="467"/>
    </row>
    <row r="22" spans="3:17">
      <c r="C22" s="101"/>
      <c r="D22" s="470"/>
      <c r="E22" s="470"/>
      <c r="F22" s="470"/>
      <c r="G22" s="471"/>
      <c r="M22" s="100">
        <v>2</v>
      </c>
      <c r="N22" s="466" t="s">
        <v>218</v>
      </c>
      <c r="O22" s="466"/>
      <c r="P22" s="466"/>
      <c r="Q22" s="467"/>
    </row>
    <row r="23" spans="3:17">
      <c r="C23" s="101"/>
      <c r="D23" s="470"/>
      <c r="E23" s="470"/>
      <c r="F23" s="470"/>
      <c r="G23" s="471"/>
      <c r="M23" s="100"/>
      <c r="N23" s="466"/>
      <c r="O23" s="466"/>
      <c r="P23" s="466"/>
      <c r="Q23" s="467"/>
    </row>
    <row r="24" spans="3:17" ht="17.25" thickBot="1">
      <c r="C24" s="103"/>
      <c r="D24" s="478"/>
      <c r="E24" s="478"/>
      <c r="F24" s="478"/>
      <c r="G24" s="479"/>
      <c r="M24" s="102"/>
      <c r="N24" s="468"/>
      <c r="O24" s="468"/>
      <c r="P24" s="468"/>
      <c r="Q24" s="469"/>
    </row>
    <row r="25" spans="3:17">
      <c r="C25" s="66"/>
      <c r="D25" s="463"/>
      <c r="E25" s="463"/>
      <c r="F25" s="463"/>
      <c r="G25" s="463"/>
    </row>
    <row r="26" spans="3:17">
      <c r="C26" s="66"/>
      <c r="D26" s="463"/>
      <c r="E26" s="463"/>
      <c r="F26" s="463"/>
      <c r="G26" s="463"/>
    </row>
    <row r="27" spans="3:17">
      <c r="C27" s="66"/>
      <c r="D27" s="463"/>
      <c r="E27" s="463"/>
      <c r="F27" s="463"/>
      <c r="G27" s="463"/>
    </row>
  </sheetData>
  <mergeCells count="14">
    <mergeCell ref="B2:H2"/>
    <mergeCell ref="D25:G25"/>
    <mergeCell ref="D26:G26"/>
    <mergeCell ref="D27:G27"/>
    <mergeCell ref="N20:Q20"/>
    <mergeCell ref="N21:Q21"/>
    <mergeCell ref="N22:Q22"/>
    <mergeCell ref="N23:Q23"/>
    <mergeCell ref="N24:Q24"/>
    <mergeCell ref="D22:G22"/>
    <mergeCell ref="D20:G20"/>
    <mergeCell ref="D21:G21"/>
    <mergeCell ref="D23:G23"/>
    <mergeCell ref="D24:G2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9"/>
  <sheetViews>
    <sheetView showGridLines="0" zoomScale="85" zoomScaleNormal="85" workbookViewId="0"/>
  </sheetViews>
  <sheetFormatPr defaultColWidth="8.77734375" defaultRowHeight="16.5"/>
  <cols>
    <col min="1" max="1" width="2.21875" style="62" customWidth="1"/>
    <col min="2" max="2" width="10.77734375" style="62" customWidth="1"/>
    <col min="3" max="3" width="5.44140625" style="62" customWidth="1"/>
    <col min="4" max="4" width="34.88671875" style="62" customWidth="1"/>
    <col min="5" max="5" width="14.5546875" style="62" customWidth="1"/>
    <col min="6" max="6" width="13.88671875" style="62" customWidth="1"/>
    <col min="7" max="7" width="15.109375" style="62" customWidth="1"/>
    <col min="8" max="16384" width="8.77734375" style="62"/>
  </cols>
  <sheetData>
    <row r="2" spans="2:11" ht="35.450000000000003" customHeight="1">
      <c r="B2" s="486" t="s">
        <v>415</v>
      </c>
      <c r="C2" s="486"/>
      <c r="D2" s="486"/>
      <c r="E2" s="486"/>
      <c r="F2" s="486"/>
      <c r="G2" s="486"/>
      <c r="H2" s="182"/>
      <c r="I2" s="182"/>
      <c r="J2" s="182"/>
      <c r="K2" s="182"/>
    </row>
    <row r="3" spans="2:11" ht="17.25" thickBot="1">
      <c r="B3" s="95"/>
      <c r="C3" s="95"/>
      <c r="D3" s="95"/>
      <c r="E3" s="95"/>
      <c r="F3" s="95"/>
      <c r="G3" s="95"/>
    </row>
    <row r="4" spans="2:11">
      <c r="B4" s="492" t="s">
        <v>416</v>
      </c>
      <c r="C4" s="493"/>
      <c r="D4" s="493"/>
      <c r="E4" s="493"/>
      <c r="F4" s="493"/>
      <c r="G4" s="494"/>
    </row>
    <row r="5" spans="2:11" ht="22.15" customHeight="1" thickBot="1">
      <c r="B5" s="495" t="s">
        <v>12</v>
      </c>
      <c r="C5" s="496"/>
      <c r="D5" s="497"/>
      <c r="E5" s="215" t="s">
        <v>50</v>
      </c>
      <c r="F5" s="215" t="s">
        <v>13</v>
      </c>
      <c r="G5" s="216" t="s">
        <v>14</v>
      </c>
    </row>
    <row r="6" spans="2:11">
      <c r="B6" s="195">
        <v>1</v>
      </c>
      <c r="C6" s="487" t="s">
        <v>15</v>
      </c>
      <c r="D6" s="488"/>
      <c r="E6" s="196" t="s">
        <v>51</v>
      </c>
      <c r="F6" s="197"/>
      <c r="G6" s="198"/>
    </row>
    <row r="7" spans="2:11">
      <c r="B7" s="183">
        <v>2</v>
      </c>
      <c r="C7" s="480" t="s">
        <v>16</v>
      </c>
      <c r="D7" s="481"/>
      <c r="E7" s="96" t="s">
        <v>51</v>
      </c>
      <c r="F7" s="97"/>
      <c r="G7" s="184"/>
    </row>
    <row r="8" spans="2:11">
      <c r="B8" s="183">
        <v>3</v>
      </c>
      <c r="C8" s="480" t="s">
        <v>17</v>
      </c>
      <c r="D8" s="481"/>
      <c r="E8" s="96" t="s">
        <v>51</v>
      </c>
      <c r="F8" s="97"/>
      <c r="G8" s="184"/>
    </row>
    <row r="9" spans="2:11">
      <c r="B9" s="183">
        <v>4</v>
      </c>
      <c r="C9" s="480" t="s">
        <v>18</v>
      </c>
      <c r="D9" s="481"/>
      <c r="E9" s="96" t="s">
        <v>51</v>
      </c>
      <c r="F9" s="97"/>
      <c r="G9" s="184"/>
    </row>
    <row r="10" spans="2:11">
      <c r="B10" s="183">
        <v>5</v>
      </c>
      <c r="C10" s="480" t="s">
        <v>19</v>
      </c>
      <c r="D10" s="481"/>
      <c r="E10" s="96" t="s">
        <v>51</v>
      </c>
      <c r="F10" s="97"/>
      <c r="G10" s="184"/>
    </row>
    <row r="11" spans="2:11">
      <c r="B11" s="183">
        <v>6</v>
      </c>
      <c r="C11" s="480" t="s">
        <v>20</v>
      </c>
      <c r="D11" s="481"/>
      <c r="E11" s="96" t="s">
        <v>51</v>
      </c>
      <c r="F11" s="97"/>
      <c r="G11" s="184"/>
    </row>
    <row r="12" spans="2:11">
      <c r="B12" s="183">
        <v>7</v>
      </c>
      <c r="C12" s="480" t="s">
        <v>21</v>
      </c>
      <c r="D12" s="481"/>
      <c r="E12" s="96" t="s">
        <v>51</v>
      </c>
      <c r="F12" s="97"/>
      <c r="G12" s="184"/>
    </row>
    <row r="13" spans="2:11" ht="17.25" thickBot="1">
      <c r="B13" s="186">
        <v>8</v>
      </c>
      <c r="C13" s="482" t="s">
        <v>22</v>
      </c>
      <c r="D13" s="483"/>
      <c r="E13" s="98" t="s">
        <v>51</v>
      </c>
      <c r="F13" s="99"/>
      <c r="G13" s="194"/>
    </row>
    <row r="14" spans="2:11" ht="22.15" customHeight="1" thickBot="1">
      <c r="B14" s="489" t="s">
        <v>23</v>
      </c>
      <c r="C14" s="490"/>
      <c r="D14" s="491"/>
      <c r="E14" s="217" t="s">
        <v>50</v>
      </c>
      <c r="F14" s="217" t="s">
        <v>13</v>
      </c>
      <c r="G14" s="218" t="s">
        <v>14</v>
      </c>
    </row>
    <row r="15" spans="2:11">
      <c r="B15" s="195">
        <v>9</v>
      </c>
      <c r="C15" s="487" t="s">
        <v>24</v>
      </c>
      <c r="D15" s="488"/>
      <c r="E15" s="196" t="s">
        <v>51</v>
      </c>
      <c r="F15" s="197"/>
      <c r="G15" s="198"/>
    </row>
    <row r="16" spans="2:11">
      <c r="B16" s="183">
        <v>10</v>
      </c>
      <c r="C16" s="480" t="s">
        <v>25</v>
      </c>
      <c r="D16" s="481"/>
      <c r="E16" s="96" t="s">
        <v>51</v>
      </c>
      <c r="F16" s="97"/>
      <c r="G16" s="184"/>
    </row>
    <row r="17" spans="2:7">
      <c r="B17" s="183">
        <v>11</v>
      </c>
      <c r="C17" s="480" t="s">
        <v>26</v>
      </c>
      <c r="D17" s="481"/>
      <c r="E17" s="96" t="s">
        <v>51</v>
      </c>
      <c r="F17" s="97"/>
      <c r="G17" s="184"/>
    </row>
    <row r="18" spans="2:7">
      <c r="B18" s="183">
        <v>12</v>
      </c>
      <c r="C18" s="480" t="s">
        <v>27</v>
      </c>
      <c r="D18" s="481"/>
      <c r="E18" s="96" t="s">
        <v>51</v>
      </c>
      <c r="F18" s="104"/>
      <c r="G18" s="184"/>
    </row>
    <row r="19" spans="2:7">
      <c r="B19" s="183">
        <v>13</v>
      </c>
      <c r="C19" s="480" t="s">
        <v>28</v>
      </c>
      <c r="D19" s="481"/>
      <c r="E19" s="96" t="s">
        <v>51</v>
      </c>
      <c r="F19" s="97"/>
      <c r="G19" s="185"/>
    </row>
    <row r="20" spans="2:7">
      <c r="B20" s="183">
        <v>14</v>
      </c>
      <c r="C20" s="480" t="s">
        <v>29</v>
      </c>
      <c r="D20" s="481"/>
      <c r="E20" s="96" t="s">
        <v>51</v>
      </c>
      <c r="F20" s="97"/>
      <c r="G20" s="185"/>
    </row>
    <row r="21" spans="2:7">
      <c r="B21" s="183">
        <v>15</v>
      </c>
      <c r="C21" s="480" t="s">
        <v>30</v>
      </c>
      <c r="D21" s="481"/>
      <c r="E21" s="96" t="s">
        <v>51</v>
      </c>
      <c r="F21" s="97"/>
      <c r="G21" s="185"/>
    </row>
    <row r="22" spans="2:7">
      <c r="B22" s="183">
        <v>16</v>
      </c>
      <c r="C22" s="480" t="s">
        <v>31</v>
      </c>
      <c r="D22" s="481"/>
      <c r="E22" s="105"/>
      <c r="F22" s="104"/>
      <c r="G22" s="185"/>
    </row>
    <row r="23" spans="2:7">
      <c r="B23" s="186">
        <v>17</v>
      </c>
      <c r="C23" s="480" t="s">
        <v>32</v>
      </c>
      <c r="D23" s="481"/>
      <c r="E23" s="96" t="s">
        <v>51</v>
      </c>
      <c r="F23" s="97"/>
      <c r="G23" s="187"/>
    </row>
    <row r="24" spans="2:7">
      <c r="B24" s="183">
        <v>18</v>
      </c>
      <c r="C24" s="480" t="s">
        <v>33</v>
      </c>
      <c r="D24" s="481"/>
      <c r="E24" s="96" t="s">
        <v>51</v>
      </c>
      <c r="F24" s="97"/>
      <c r="G24" s="188"/>
    </row>
    <row r="25" spans="2:7">
      <c r="B25" s="183">
        <v>19</v>
      </c>
      <c r="C25" s="480" t="s">
        <v>34</v>
      </c>
      <c r="D25" s="481"/>
      <c r="E25" s="96" t="s">
        <v>51</v>
      </c>
      <c r="F25" s="97"/>
      <c r="G25" s="185"/>
    </row>
    <row r="26" spans="2:7">
      <c r="B26" s="183">
        <v>20</v>
      </c>
      <c r="C26" s="480" t="s">
        <v>35</v>
      </c>
      <c r="D26" s="481"/>
      <c r="E26" s="96" t="s">
        <v>51</v>
      </c>
      <c r="F26" s="97"/>
      <c r="G26" s="185"/>
    </row>
    <row r="27" spans="2:7">
      <c r="B27" s="183">
        <v>21</v>
      </c>
      <c r="C27" s="480" t="s">
        <v>36</v>
      </c>
      <c r="D27" s="481"/>
      <c r="E27" s="105"/>
      <c r="F27" s="104"/>
      <c r="G27" s="185"/>
    </row>
    <row r="28" spans="2:7">
      <c r="B28" s="183">
        <v>22</v>
      </c>
      <c r="C28" s="480" t="s">
        <v>37</v>
      </c>
      <c r="D28" s="481"/>
      <c r="E28" s="105"/>
      <c r="F28" s="104"/>
      <c r="G28" s="189"/>
    </row>
    <row r="29" spans="2:7" ht="17.25" thickBot="1">
      <c r="B29" s="190">
        <v>23</v>
      </c>
      <c r="C29" s="484" t="s">
        <v>38</v>
      </c>
      <c r="D29" s="485"/>
      <c r="E29" s="191" t="s">
        <v>51</v>
      </c>
      <c r="F29" s="192"/>
      <c r="G29" s="193"/>
    </row>
  </sheetData>
  <mergeCells count="27">
    <mergeCell ref="B2:G2"/>
    <mergeCell ref="C25:D25"/>
    <mergeCell ref="C26:D26"/>
    <mergeCell ref="C27:D27"/>
    <mergeCell ref="C28:D28"/>
    <mergeCell ref="C15:D15"/>
    <mergeCell ref="C16:D16"/>
    <mergeCell ref="C17:D17"/>
    <mergeCell ref="C18:D18"/>
    <mergeCell ref="C19:D19"/>
    <mergeCell ref="B14:D14"/>
    <mergeCell ref="B4:G4"/>
    <mergeCell ref="B5:D5"/>
    <mergeCell ref="C6:D6"/>
    <mergeCell ref="C7:D7"/>
    <mergeCell ref="C8:D8"/>
    <mergeCell ref="C29:D29"/>
    <mergeCell ref="C20:D20"/>
    <mergeCell ref="C21:D21"/>
    <mergeCell ref="C22:D22"/>
    <mergeCell ref="C23:D23"/>
    <mergeCell ref="C24:D24"/>
    <mergeCell ref="C9:D9"/>
    <mergeCell ref="C10:D10"/>
    <mergeCell ref="C11:D11"/>
    <mergeCell ref="C12:D12"/>
    <mergeCell ref="C13:D13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73"/>
  <sheetViews>
    <sheetView showGridLines="0" topLeftCell="A31" zoomScale="85" zoomScaleNormal="85" workbookViewId="0">
      <selection activeCell="G60" sqref="G60"/>
    </sheetView>
  </sheetViews>
  <sheetFormatPr defaultColWidth="8.88671875" defaultRowHeight="16.5"/>
  <cols>
    <col min="1" max="1" width="1.44140625" style="62" customWidth="1"/>
    <col min="2" max="2" width="8.5546875" style="62" customWidth="1"/>
    <col min="3" max="3" width="9.21875" style="62" customWidth="1"/>
    <col min="4" max="4" width="37.109375" style="62" bestFit="1" customWidth="1"/>
    <col min="5" max="5" width="9.6640625" style="62" bestFit="1" customWidth="1"/>
    <col min="6" max="6" width="9.6640625" style="62" customWidth="1"/>
    <col min="7" max="7" width="14.44140625" style="62" bestFit="1" customWidth="1"/>
    <col min="8" max="8" width="12.77734375" style="66" customWidth="1"/>
    <col min="9" max="9" width="8.88671875" style="62" customWidth="1"/>
    <col min="10" max="10" width="8.88671875" style="66" hidden="1" customWidth="1"/>
    <col min="11" max="16384" width="8.88671875" style="62"/>
  </cols>
  <sheetData>
    <row r="2" spans="2:10" ht="34.9" customHeight="1">
      <c r="B2" s="509" t="s">
        <v>45</v>
      </c>
      <c r="C2" s="509"/>
      <c r="D2" s="509"/>
      <c r="E2" s="509"/>
      <c r="F2" s="509"/>
      <c r="G2" s="509"/>
      <c r="H2" s="509"/>
      <c r="I2" s="509"/>
    </row>
    <row r="3" spans="2:10" ht="17.25" thickBot="1">
      <c r="B3" s="95"/>
      <c r="C3" s="95"/>
      <c r="D3" s="95"/>
      <c r="E3" s="95"/>
      <c r="F3" s="95"/>
      <c r="G3" s="95"/>
      <c r="H3" s="309"/>
      <c r="I3" s="95"/>
    </row>
    <row r="4" spans="2:10" ht="32.450000000000003" customHeight="1" thickBot="1">
      <c r="B4" s="272" t="s">
        <v>39</v>
      </c>
      <c r="C4" s="273" t="s">
        <v>40</v>
      </c>
      <c r="D4" s="273" t="s">
        <v>41</v>
      </c>
      <c r="E4" s="273" t="s">
        <v>42</v>
      </c>
      <c r="F4" s="274"/>
      <c r="G4" s="274" t="s">
        <v>50</v>
      </c>
      <c r="H4" s="310" t="s">
        <v>220</v>
      </c>
      <c r="I4" s="275" t="s">
        <v>43</v>
      </c>
      <c r="J4" s="66" t="s">
        <v>536</v>
      </c>
    </row>
    <row r="5" spans="2:10">
      <c r="B5" s="498">
        <v>1</v>
      </c>
      <c r="C5" s="279">
        <v>0</v>
      </c>
      <c r="D5" s="280" t="s">
        <v>44</v>
      </c>
      <c r="E5" s="279" t="s">
        <v>544</v>
      </c>
      <c r="F5" s="279" t="s">
        <v>545</v>
      </c>
      <c r="G5" s="306"/>
      <c r="H5" s="287"/>
      <c r="I5" s="281"/>
      <c r="J5" s="66" t="str">
        <f>CONCATENATE("S",$B$5,"F",C5)</f>
        <v>S1F0</v>
      </c>
    </row>
    <row r="6" spans="2:10">
      <c r="B6" s="499"/>
      <c r="C6" s="276">
        <v>1</v>
      </c>
      <c r="D6" s="277" t="s">
        <v>430</v>
      </c>
      <c r="E6" s="276" t="s">
        <v>428</v>
      </c>
      <c r="F6" s="276"/>
      <c r="G6" s="307"/>
      <c r="H6" s="289"/>
      <c r="I6" s="114"/>
      <c r="J6" s="66" t="str">
        <f t="shared" ref="J6:J9" si="0">CONCATENATE("S",$B$5,"F",C6)</f>
        <v>S1F1</v>
      </c>
    </row>
    <row r="7" spans="2:10">
      <c r="B7" s="499"/>
      <c r="C7" s="276">
        <v>2</v>
      </c>
      <c r="D7" s="277" t="s">
        <v>431</v>
      </c>
      <c r="E7" s="276" t="s">
        <v>428</v>
      </c>
      <c r="F7" s="276"/>
      <c r="G7" s="307"/>
      <c r="H7" s="289"/>
      <c r="I7" s="114"/>
      <c r="J7" s="66" t="str">
        <f t="shared" si="0"/>
        <v>S1F2</v>
      </c>
    </row>
    <row r="8" spans="2:10">
      <c r="B8" s="499"/>
      <c r="C8" s="276">
        <v>3</v>
      </c>
      <c r="D8" s="277" t="s">
        <v>432</v>
      </c>
      <c r="E8" s="276" t="s">
        <v>427</v>
      </c>
      <c r="F8" s="276" t="s">
        <v>545</v>
      </c>
      <c r="G8" s="307"/>
      <c r="H8" s="289"/>
      <c r="I8" s="114"/>
      <c r="J8" s="66" t="str">
        <f t="shared" si="0"/>
        <v>S1F3</v>
      </c>
    </row>
    <row r="9" spans="2:10" ht="17.25" thickBot="1">
      <c r="B9" s="500"/>
      <c r="C9" s="282">
        <v>4</v>
      </c>
      <c r="D9" s="284" t="s">
        <v>433</v>
      </c>
      <c r="E9" s="282" t="s">
        <v>426</v>
      </c>
      <c r="F9" s="282"/>
      <c r="G9" s="308"/>
      <c r="H9" s="290"/>
      <c r="I9" s="118"/>
      <c r="J9" s="66" t="str">
        <f t="shared" si="0"/>
        <v>S1F4</v>
      </c>
    </row>
    <row r="10" spans="2:10" ht="17.25" thickBot="1">
      <c r="B10" s="501"/>
      <c r="C10" s="502"/>
      <c r="D10" s="502"/>
      <c r="E10" s="502"/>
      <c r="F10" s="502"/>
      <c r="G10" s="502"/>
      <c r="H10" s="502"/>
      <c r="I10" s="503"/>
    </row>
    <row r="11" spans="2:10">
      <c r="B11" s="498">
        <v>2</v>
      </c>
      <c r="C11" s="279">
        <v>3</v>
      </c>
      <c r="D11" s="285" t="s">
        <v>434</v>
      </c>
      <c r="E11" s="279" t="s">
        <v>427</v>
      </c>
      <c r="F11" s="279" t="s">
        <v>545</v>
      </c>
      <c r="G11" s="306"/>
      <c r="H11" s="287"/>
      <c r="I11" s="291"/>
      <c r="J11" s="66" t="str">
        <f>CONCATENATE("S",$B$11,"F",C11)</f>
        <v>S2F3</v>
      </c>
    </row>
    <row r="12" spans="2:10">
      <c r="B12" s="499"/>
      <c r="C12" s="276">
        <v>4</v>
      </c>
      <c r="D12" s="278" t="s">
        <v>435</v>
      </c>
      <c r="E12" s="276" t="s">
        <v>426</v>
      </c>
      <c r="F12" s="276"/>
      <c r="G12" s="307"/>
      <c r="H12" s="289"/>
      <c r="I12" s="114"/>
      <c r="J12" s="66" t="str">
        <f t="shared" ref="J12:J22" si="1">CONCATENATE("S",$B$11,"F",C12)</f>
        <v>S2F4</v>
      </c>
    </row>
    <row r="13" spans="2:10">
      <c r="B13" s="499"/>
      <c r="C13" s="276">
        <v>17</v>
      </c>
      <c r="D13" s="278" t="s">
        <v>436</v>
      </c>
      <c r="E13" s="276" t="s">
        <v>426</v>
      </c>
      <c r="F13" s="276" t="s">
        <v>545</v>
      </c>
      <c r="G13" s="276"/>
      <c r="H13" s="289"/>
      <c r="I13" s="114"/>
      <c r="J13" s="66" t="str">
        <f t="shared" si="1"/>
        <v>S2F17</v>
      </c>
    </row>
    <row r="14" spans="2:10">
      <c r="B14" s="499"/>
      <c r="C14" s="276">
        <v>18</v>
      </c>
      <c r="D14" s="278" t="s">
        <v>438</v>
      </c>
      <c r="E14" s="276" t="s">
        <v>427</v>
      </c>
      <c r="F14" s="276"/>
      <c r="G14" s="276"/>
      <c r="H14" s="289"/>
      <c r="I14" s="114"/>
      <c r="J14" s="66" t="str">
        <f t="shared" si="1"/>
        <v>S2F18</v>
      </c>
    </row>
    <row r="15" spans="2:10">
      <c r="B15" s="499"/>
      <c r="C15" s="276">
        <v>23</v>
      </c>
      <c r="D15" s="277" t="s">
        <v>439</v>
      </c>
      <c r="E15" s="276" t="s">
        <v>427</v>
      </c>
      <c r="F15" s="276" t="s">
        <v>545</v>
      </c>
      <c r="G15" s="276" t="s">
        <v>437</v>
      </c>
      <c r="H15" s="289"/>
      <c r="I15" s="114"/>
      <c r="J15" s="66" t="str">
        <f t="shared" si="1"/>
        <v>S2F23</v>
      </c>
    </row>
    <row r="16" spans="2:10">
      <c r="B16" s="499"/>
      <c r="C16" s="276">
        <v>24</v>
      </c>
      <c r="D16" s="277" t="s">
        <v>440</v>
      </c>
      <c r="E16" s="276" t="s">
        <v>426</v>
      </c>
      <c r="F16" s="276"/>
      <c r="G16" s="276" t="s">
        <v>437</v>
      </c>
      <c r="H16" s="289"/>
      <c r="I16" s="114"/>
      <c r="J16" s="66" t="str">
        <f t="shared" si="1"/>
        <v>S2F24</v>
      </c>
    </row>
    <row r="17" spans="2:10">
      <c r="B17" s="499"/>
      <c r="C17" s="276">
        <v>31</v>
      </c>
      <c r="D17" s="278" t="s">
        <v>441</v>
      </c>
      <c r="E17" s="276" t="s">
        <v>427</v>
      </c>
      <c r="F17" s="276" t="s">
        <v>545</v>
      </c>
      <c r="G17" s="307"/>
      <c r="H17" s="289"/>
      <c r="I17" s="114"/>
      <c r="J17" s="66" t="str">
        <f t="shared" si="1"/>
        <v>S2F31</v>
      </c>
    </row>
    <row r="18" spans="2:10">
      <c r="B18" s="499"/>
      <c r="C18" s="276">
        <v>32</v>
      </c>
      <c r="D18" s="278" t="s">
        <v>442</v>
      </c>
      <c r="E18" s="276" t="s">
        <v>426</v>
      </c>
      <c r="F18" s="276"/>
      <c r="G18" s="307"/>
      <c r="H18" s="289"/>
      <c r="I18" s="114"/>
      <c r="J18" s="66" t="str">
        <f t="shared" si="1"/>
        <v>S2F32</v>
      </c>
    </row>
    <row r="19" spans="2:10">
      <c r="B19" s="499"/>
      <c r="C19" s="276">
        <v>49</v>
      </c>
      <c r="D19" s="277" t="s">
        <v>443</v>
      </c>
      <c r="E19" s="276" t="s">
        <v>427</v>
      </c>
      <c r="F19" s="276" t="s">
        <v>545</v>
      </c>
      <c r="G19" s="307"/>
      <c r="H19" s="289"/>
      <c r="I19" s="114"/>
      <c r="J19" s="66" t="str">
        <f t="shared" si="1"/>
        <v>S2F49</v>
      </c>
    </row>
    <row r="20" spans="2:10">
      <c r="B20" s="499"/>
      <c r="C20" s="276">
        <v>50</v>
      </c>
      <c r="D20" s="277" t="s">
        <v>444</v>
      </c>
      <c r="E20" s="276" t="s">
        <v>426</v>
      </c>
      <c r="F20" s="276"/>
      <c r="G20" s="307"/>
      <c r="H20" s="311"/>
      <c r="I20" s="114"/>
      <c r="J20" s="66" t="str">
        <f t="shared" si="1"/>
        <v>S2F50</v>
      </c>
    </row>
    <row r="21" spans="2:10">
      <c r="B21" s="499"/>
      <c r="C21" s="276">
        <v>61</v>
      </c>
      <c r="D21" s="277" t="s">
        <v>445</v>
      </c>
      <c r="E21" s="276" t="s">
        <v>426</v>
      </c>
      <c r="F21" s="276" t="s">
        <v>546</v>
      </c>
      <c r="G21" s="276" t="s">
        <v>437</v>
      </c>
      <c r="H21" s="289"/>
      <c r="I21" s="114"/>
      <c r="J21" s="66" t="str">
        <f t="shared" si="1"/>
        <v>S2F61</v>
      </c>
    </row>
    <row r="22" spans="2:10" ht="17.25" thickBot="1">
      <c r="B22" s="500"/>
      <c r="C22" s="282">
        <v>62</v>
      </c>
      <c r="D22" s="284" t="s">
        <v>446</v>
      </c>
      <c r="E22" s="282" t="s">
        <v>427</v>
      </c>
      <c r="F22" s="282"/>
      <c r="G22" s="282" t="s">
        <v>437</v>
      </c>
      <c r="H22" s="290"/>
      <c r="I22" s="118"/>
      <c r="J22" s="66" t="str">
        <f t="shared" si="1"/>
        <v>S2F62</v>
      </c>
    </row>
    <row r="23" spans="2:10" ht="17.25" thickBot="1">
      <c r="B23" s="504"/>
      <c r="C23" s="505"/>
      <c r="D23" s="505"/>
      <c r="E23" s="505"/>
      <c r="F23" s="505"/>
      <c r="G23" s="505"/>
      <c r="H23" s="505"/>
      <c r="I23" s="506"/>
    </row>
    <row r="24" spans="2:10">
      <c r="B24" s="507">
        <v>5</v>
      </c>
      <c r="C24" s="326">
        <v>1</v>
      </c>
      <c r="D24" s="325" t="s">
        <v>447</v>
      </c>
      <c r="E24" s="326" t="s">
        <v>426</v>
      </c>
      <c r="F24" s="326" t="s">
        <v>545</v>
      </c>
      <c r="G24" s="373"/>
      <c r="H24" s="372"/>
      <c r="I24" s="210"/>
      <c r="J24" s="66" t="str">
        <f>CONCATENATE("S",$B$24,"F",C24)</f>
        <v>S5F1</v>
      </c>
    </row>
    <row r="25" spans="2:10">
      <c r="B25" s="499"/>
      <c r="C25" s="276">
        <v>2</v>
      </c>
      <c r="D25" s="277" t="s">
        <v>448</v>
      </c>
      <c r="E25" s="276" t="s">
        <v>427</v>
      </c>
      <c r="F25" s="276"/>
      <c r="G25" s="307"/>
      <c r="H25" s="289"/>
      <c r="I25" s="114"/>
      <c r="J25" s="66" t="str">
        <f t="shared" ref="J25:J27" si="2">CONCATENATE("S",$B$24,"F",C25)</f>
        <v>S5F2</v>
      </c>
    </row>
    <row r="26" spans="2:10">
      <c r="B26" s="499"/>
      <c r="C26" s="276">
        <v>5</v>
      </c>
      <c r="D26" s="277" t="s">
        <v>449</v>
      </c>
      <c r="E26" s="276" t="s">
        <v>427</v>
      </c>
      <c r="F26" s="276" t="s">
        <v>547</v>
      </c>
      <c r="G26" s="276" t="s">
        <v>437</v>
      </c>
      <c r="H26" s="289"/>
      <c r="I26" s="114"/>
      <c r="J26" s="66" t="str">
        <f t="shared" si="2"/>
        <v>S5F5</v>
      </c>
    </row>
    <row r="27" spans="2:10" ht="17.25" thickBot="1">
      <c r="B27" s="500"/>
      <c r="C27" s="282">
        <v>6</v>
      </c>
      <c r="D27" s="284" t="s">
        <v>450</v>
      </c>
      <c r="E27" s="282" t="s">
        <v>426</v>
      </c>
      <c r="F27" s="282"/>
      <c r="G27" s="282" t="s">
        <v>437</v>
      </c>
      <c r="H27" s="290"/>
      <c r="I27" s="118"/>
      <c r="J27" s="66" t="str">
        <f t="shared" si="2"/>
        <v>S5F6</v>
      </c>
    </row>
    <row r="28" spans="2:10" ht="17.25" thickBot="1">
      <c r="B28" s="504"/>
      <c r="C28" s="505"/>
      <c r="D28" s="505"/>
      <c r="E28" s="505"/>
      <c r="F28" s="505"/>
      <c r="G28" s="505"/>
      <c r="H28" s="505"/>
      <c r="I28" s="506"/>
    </row>
    <row r="29" spans="2:10">
      <c r="B29" s="507">
        <v>6</v>
      </c>
      <c r="C29" s="326">
        <v>1</v>
      </c>
      <c r="D29" s="371" t="s">
        <v>451</v>
      </c>
      <c r="E29" s="326" t="s">
        <v>426</v>
      </c>
      <c r="F29" s="326" t="s">
        <v>545</v>
      </c>
      <c r="G29" s="326" t="s">
        <v>437</v>
      </c>
      <c r="H29" s="372"/>
      <c r="I29" s="210"/>
      <c r="J29" s="66" t="str">
        <f>CONCATENATE("S",$B$29,"F",C29)</f>
        <v>S6F1</v>
      </c>
    </row>
    <row r="30" spans="2:10">
      <c r="B30" s="499"/>
      <c r="C30" s="276">
        <v>2</v>
      </c>
      <c r="D30" s="278" t="s">
        <v>452</v>
      </c>
      <c r="E30" s="276" t="s">
        <v>427</v>
      </c>
      <c r="F30" s="276"/>
      <c r="G30" s="276" t="s">
        <v>437</v>
      </c>
      <c r="H30" s="289"/>
      <c r="I30" s="114"/>
      <c r="J30" s="66" t="str">
        <f t="shared" ref="J30:J32" si="3">CONCATENATE("S",$B$29,"F",C30)</f>
        <v>S6F2</v>
      </c>
    </row>
    <row r="31" spans="2:10">
      <c r="B31" s="499"/>
      <c r="C31" s="276">
        <v>11</v>
      </c>
      <c r="D31" s="278" t="s">
        <v>453</v>
      </c>
      <c r="E31" s="276" t="s">
        <v>426</v>
      </c>
      <c r="F31" s="276" t="s">
        <v>545</v>
      </c>
      <c r="G31" s="307"/>
      <c r="H31" s="289"/>
      <c r="I31" s="114"/>
      <c r="J31" s="66" t="str">
        <f t="shared" si="3"/>
        <v>S6F11</v>
      </c>
    </row>
    <row r="32" spans="2:10" ht="17.25" thickBot="1">
      <c r="B32" s="500"/>
      <c r="C32" s="282">
        <v>12</v>
      </c>
      <c r="D32" s="283" t="s">
        <v>454</v>
      </c>
      <c r="E32" s="282" t="s">
        <v>427</v>
      </c>
      <c r="F32" s="282"/>
      <c r="G32" s="308"/>
      <c r="H32" s="290"/>
      <c r="I32" s="118"/>
      <c r="J32" s="66" t="str">
        <f t="shared" si="3"/>
        <v>S6F12</v>
      </c>
    </row>
    <row r="33" spans="2:10" ht="17.25" thickBot="1">
      <c r="B33" s="504"/>
      <c r="C33" s="505"/>
      <c r="D33" s="505"/>
      <c r="E33" s="505"/>
      <c r="F33" s="505"/>
      <c r="G33" s="505"/>
      <c r="H33" s="505"/>
      <c r="I33" s="506"/>
    </row>
    <row r="34" spans="2:10">
      <c r="B34" s="507">
        <v>7</v>
      </c>
      <c r="C34" s="326">
        <v>19</v>
      </c>
      <c r="D34" s="371" t="s">
        <v>455</v>
      </c>
      <c r="E34" s="326" t="s">
        <v>427</v>
      </c>
      <c r="F34" s="326" t="s">
        <v>545</v>
      </c>
      <c r="G34" s="326" t="s">
        <v>437</v>
      </c>
      <c r="H34" s="372"/>
      <c r="I34" s="210"/>
      <c r="J34" s="66" t="str">
        <f>CONCATENATE("S",$B$34,"F",C34)</f>
        <v>S7F19</v>
      </c>
    </row>
    <row r="35" spans="2:10" ht="17.25" thickBot="1">
      <c r="B35" s="508"/>
      <c r="C35" s="374">
        <v>20</v>
      </c>
      <c r="D35" s="375" t="s">
        <v>456</v>
      </c>
      <c r="E35" s="374" t="s">
        <v>426</v>
      </c>
      <c r="F35" s="374"/>
      <c r="G35" s="374" t="s">
        <v>437</v>
      </c>
      <c r="H35" s="376"/>
      <c r="I35" s="377"/>
      <c r="J35" s="66" t="str">
        <f t="shared" ref="J35" si="4">CONCATENATE("S",$B$34,"F",C35)</f>
        <v>S7F20</v>
      </c>
    </row>
    <row r="36" spans="2:10" ht="17.25" thickBot="1">
      <c r="B36" s="504"/>
      <c r="C36" s="505"/>
      <c r="D36" s="505"/>
      <c r="E36" s="505"/>
      <c r="F36" s="505"/>
      <c r="G36" s="505"/>
      <c r="H36" s="505"/>
      <c r="I36" s="506"/>
    </row>
    <row r="37" spans="2:10">
      <c r="B37" s="498">
        <v>9</v>
      </c>
      <c r="C37" s="279">
        <v>3</v>
      </c>
      <c r="D37" s="285" t="s">
        <v>457</v>
      </c>
      <c r="E37" s="279" t="s">
        <v>426</v>
      </c>
      <c r="F37" s="279"/>
      <c r="G37" s="306"/>
      <c r="H37" s="287"/>
      <c r="I37" s="291"/>
      <c r="J37" s="66" t="str">
        <f>CONCATENATE("S",$B$37,"F",C37)</f>
        <v>S9F3</v>
      </c>
    </row>
    <row r="38" spans="2:10">
      <c r="B38" s="499"/>
      <c r="C38" s="276">
        <v>5</v>
      </c>
      <c r="D38" s="278" t="s">
        <v>458</v>
      </c>
      <c r="E38" s="276" t="s">
        <v>426</v>
      </c>
      <c r="F38" s="276"/>
      <c r="G38" s="307"/>
      <c r="H38" s="289"/>
      <c r="I38" s="114"/>
      <c r="J38" s="66" t="str">
        <f t="shared" ref="J38:J40" si="5">CONCATENATE("S",$B$37,"F",C38)</f>
        <v>S9F5</v>
      </c>
    </row>
    <row r="39" spans="2:10">
      <c r="B39" s="499"/>
      <c r="C39" s="276">
        <v>9</v>
      </c>
      <c r="D39" s="278" t="s">
        <v>459</v>
      </c>
      <c r="E39" s="276" t="s">
        <v>426</v>
      </c>
      <c r="F39" s="276"/>
      <c r="G39" s="307"/>
      <c r="H39" s="289"/>
      <c r="I39" s="114"/>
      <c r="J39" s="66" t="str">
        <f t="shared" si="5"/>
        <v>S9F9</v>
      </c>
    </row>
    <row r="40" spans="2:10" ht="17.25" thickBot="1">
      <c r="B40" s="500"/>
      <c r="C40" s="282">
        <v>13</v>
      </c>
      <c r="D40" s="283" t="s">
        <v>460</v>
      </c>
      <c r="E40" s="282" t="s">
        <v>426</v>
      </c>
      <c r="F40" s="282"/>
      <c r="G40" s="308"/>
      <c r="H40" s="290"/>
      <c r="I40" s="118"/>
      <c r="J40" s="66" t="str">
        <f t="shared" si="5"/>
        <v>S9F13</v>
      </c>
    </row>
    <row r="41" spans="2:10" ht="17.25" thickBot="1">
      <c r="B41" s="501"/>
      <c r="C41" s="502"/>
      <c r="D41" s="502"/>
      <c r="E41" s="502"/>
      <c r="F41" s="502"/>
      <c r="G41" s="502"/>
      <c r="H41" s="502"/>
      <c r="I41" s="503"/>
    </row>
    <row r="42" spans="2:10">
      <c r="B42" s="498">
        <v>10</v>
      </c>
      <c r="C42" s="279">
        <v>1</v>
      </c>
      <c r="D42" s="285" t="s">
        <v>461</v>
      </c>
      <c r="E42" s="279" t="s">
        <v>426</v>
      </c>
      <c r="F42" s="279" t="s">
        <v>545</v>
      </c>
      <c r="G42" s="286"/>
      <c r="H42" s="287"/>
      <c r="I42" s="291"/>
      <c r="J42" s="66" t="str">
        <f>CONCATENATE("S",$B$42,"F",C42)</f>
        <v>S10F1</v>
      </c>
    </row>
    <row r="43" spans="2:10">
      <c r="B43" s="499"/>
      <c r="C43" s="276">
        <v>2</v>
      </c>
      <c r="D43" s="278" t="s">
        <v>462</v>
      </c>
      <c r="E43" s="276" t="s">
        <v>427</v>
      </c>
      <c r="F43" s="276"/>
      <c r="G43" s="288"/>
      <c r="H43" s="289"/>
      <c r="I43" s="114"/>
      <c r="J43" s="66" t="str">
        <f t="shared" ref="J43:J45" si="6">CONCATENATE("S",$B$42,"F",C43)</f>
        <v>S10F2</v>
      </c>
    </row>
    <row r="44" spans="2:10">
      <c r="B44" s="499"/>
      <c r="C44" s="276">
        <v>3</v>
      </c>
      <c r="D44" s="278" t="s">
        <v>463</v>
      </c>
      <c r="E44" s="276" t="s">
        <v>427</v>
      </c>
      <c r="F44" s="276" t="s">
        <v>545</v>
      </c>
      <c r="G44" s="307"/>
      <c r="H44" s="289"/>
      <c r="I44" s="114"/>
      <c r="J44" s="66" t="str">
        <f t="shared" si="6"/>
        <v>S10F3</v>
      </c>
    </row>
    <row r="45" spans="2:10" ht="17.25" thickBot="1">
      <c r="B45" s="500"/>
      <c r="C45" s="282">
        <v>4</v>
      </c>
      <c r="D45" s="283" t="s">
        <v>464</v>
      </c>
      <c r="E45" s="282" t="s">
        <v>426</v>
      </c>
      <c r="F45" s="282"/>
      <c r="G45" s="308"/>
      <c r="H45" s="290"/>
      <c r="I45" s="118"/>
      <c r="J45" s="66" t="str">
        <f t="shared" si="6"/>
        <v>S10F4</v>
      </c>
    </row>
    <row r="46" spans="2:10">
      <c r="B46" s="51"/>
      <c r="C46" s="51"/>
      <c r="D46" s="51"/>
      <c r="E46" s="51"/>
      <c r="F46" s="51"/>
      <c r="G46" s="51"/>
      <c r="H46" s="60"/>
      <c r="I46" s="51"/>
    </row>
    <row r="47" spans="2:10">
      <c r="B47" s="51"/>
      <c r="C47" s="51"/>
      <c r="D47" s="51"/>
      <c r="E47" s="51"/>
      <c r="F47" s="51"/>
      <c r="G47" s="51"/>
      <c r="H47" s="60"/>
      <c r="I47" s="51"/>
    </row>
    <row r="48" spans="2:10">
      <c r="B48" s="51"/>
      <c r="C48" s="51"/>
      <c r="D48" s="51"/>
      <c r="E48" s="51"/>
      <c r="F48" s="51"/>
      <c r="G48" s="51"/>
      <c r="H48" s="60"/>
      <c r="I48" s="51"/>
    </row>
    <row r="49" spans="2:9">
      <c r="B49" s="51"/>
      <c r="C49" s="51"/>
      <c r="D49" s="51"/>
      <c r="E49" s="51"/>
      <c r="F49" s="51"/>
      <c r="G49" s="51"/>
      <c r="H49" s="60"/>
      <c r="I49" s="51"/>
    </row>
    <row r="50" spans="2:9">
      <c r="B50" s="51"/>
      <c r="C50" s="51"/>
      <c r="D50" s="51"/>
      <c r="E50" s="51"/>
      <c r="F50" s="51"/>
      <c r="G50" s="51"/>
      <c r="H50" s="60"/>
      <c r="I50" s="51"/>
    </row>
    <row r="51" spans="2:9">
      <c r="B51" s="51"/>
      <c r="C51" s="51"/>
      <c r="D51" s="51"/>
      <c r="E51" s="51"/>
      <c r="F51" s="51"/>
      <c r="G51" s="51"/>
      <c r="H51" s="60"/>
      <c r="I51" s="51"/>
    </row>
    <row r="52" spans="2:9">
      <c r="B52" s="51"/>
      <c r="C52" s="51"/>
      <c r="D52" s="51"/>
      <c r="E52" s="51"/>
      <c r="F52" s="51"/>
      <c r="G52" s="51"/>
      <c r="H52" s="60"/>
      <c r="I52" s="51"/>
    </row>
    <row r="53" spans="2:9">
      <c r="B53" s="51"/>
      <c r="C53" s="51"/>
      <c r="D53" s="51"/>
      <c r="E53" s="51"/>
      <c r="F53" s="51"/>
      <c r="G53" s="51"/>
      <c r="H53" s="60"/>
      <c r="I53" s="51"/>
    </row>
    <row r="54" spans="2:9">
      <c r="B54" s="51"/>
      <c r="C54" s="51"/>
      <c r="D54" s="51"/>
      <c r="E54" s="51"/>
      <c r="F54" s="51"/>
      <c r="G54" s="51"/>
      <c r="H54" s="60"/>
      <c r="I54" s="51"/>
    </row>
    <row r="55" spans="2:9">
      <c r="B55" s="51"/>
      <c r="C55" s="51"/>
      <c r="D55" s="51"/>
      <c r="E55" s="51"/>
      <c r="F55" s="51"/>
      <c r="G55" s="51"/>
      <c r="H55" s="60"/>
      <c r="I55" s="51"/>
    </row>
    <row r="56" spans="2:9">
      <c r="B56" s="51"/>
      <c r="C56" s="51"/>
      <c r="D56" s="51"/>
      <c r="E56" s="51"/>
      <c r="F56" s="51"/>
      <c r="G56" s="51"/>
      <c r="H56" s="60"/>
      <c r="I56" s="51"/>
    </row>
    <row r="57" spans="2:9">
      <c r="B57" s="51"/>
      <c r="C57" s="51"/>
      <c r="D57" s="51"/>
      <c r="E57" s="51"/>
      <c r="F57" s="51"/>
      <c r="G57" s="51"/>
      <c r="H57" s="60"/>
      <c r="I57" s="51"/>
    </row>
    <row r="58" spans="2:9">
      <c r="B58" s="51"/>
      <c r="C58" s="51"/>
      <c r="D58" s="51"/>
      <c r="E58" s="51"/>
      <c r="F58" s="51"/>
      <c r="G58" s="51"/>
      <c r="H58" s="60"/>
      <c r="I58" s="51"/>
    </row>
    <row r="59" spans="2:9">
      <c r="B59" s="51"/>
      <c r="C59" s="51"/>
      <c r="D59" s="51"/>
      <c r="E59" s="51"/>
      <c r="F59" s="51"/>
      <c r="G59" s="51"/>
      <c r="H59" s="60"/>
      <c r="I59" s="51"/>
    </row>
    <row r="60" spans="2:9">
      <c r="B60" s="51"/>
      <c r="C60" s="51"/>
      <c r="D60" s="51"/>
      <c r="E60" s="51"/>
      <c r="F60" s="51"/>
      <c r="G60" s="51"/>
      <c r="H60" s="60"/>
      <c r="I60" s="51"/>
    </row>
    <row r="61" spans="2:9">
      <c r="B61" s="51"/>
      <c r="C61" s="51"/>
      <c r="D61" s="51"/>
      <c r="E61" s="51"/>
      <c r="F61" s="51"/>
      <c r="G61" s="51"/>
      <c r="H61" s="60"/>
      <c r="I61" s="51"/>
    </row>
    <row r="62" spans="2:9">
      <c r="B62" s="51"/>
      <c r="C62" s="51"/>
      <c r="D62" s="51"/>
      <c r="E62" s="51"/>
      <c r="F62" s="51"/>
      <c r="G62" s="51"/>
      <c r="H62" s="60"/>
      <c r="I62" s="51"/>
    </row>
    <row r="63" spans="2:9">
      <c r="B63" s="51"/>
      <c r="C63" s="51"/>
      <c r="D63" s="51"/>
      <c r="E63" s="51"/>
      <c r="F63" s="51"/>
      <c r="G63" s="51"/>
      <c r="H63" s="60"/>
      <c r="I63" s="51"/>
    </row>
    <row r="64" spans="2:9">
      <c r="B64" s="51"/>
      <c r="C64" s="51"/>
      <c r="D64" s="51"/>
      <c r="E64" s="51"/>
      <c r="F64" s="51"/>
      <c r="G64" s="51"/>
      <c r="H64" s="60"/>
      <c r="I64" s="51"/>
    </row>
    <row r="65" spans="2:9">
      <c r="B65" s="51"/>
      <c r="C65" s="51"/>
      <c r="D65" s="51"/>
      <c r="E65" s="51"/>
      <c r="F65" s="51"/>
      <c r="G65" s="51"/>
      <c r="H65" s="60"/>
      <c r="I65" s="51"/>
    </row>
    <row r="66" spans="2:9">
      <c r="B66" s="51"/>
      <c r="C66" s="51"/>
      <c r="D66" s="51"/>
      <c r="E66" s="51"/>
      <c r="F66" s="51"/>
      <c r="G66" s="51"/>
      <c r="H66" s="60"/>
      <c r="I66" s="51"/>
    </row>
    <row r="67" spans="2:9">
      <c r="B67" s="51"/>
      <c r="C67" s="51"/>
      <c r="D67" s="51"/>
      <c r="E67" s="51"/>
      <c r="F67" s="51"/>
      <c r="G67" s="51"/>
      <c r="H67" s="60"/>
      <c r="I67" s="51"/>
    </row>
    <row r="68" spans="2:9">
      <c r="B68" s="51"/>
      <c r="C68" s="51"/>
      <c r="D68" s="51"/>
      <c r="E68" s="51"/>
      <c r="F68" s="51"/>
      <c r="G68" s="51"/>
      <c r="H68" s="60"/>
      <c r="I68" s="51"/>
    </row>
    <row r="69" spans="2:9">
      <c r="B69" s="51"/>
      <c r="C69" s="51"/>
      <c r="D69" s="51"/>
      <c r="E69" s="51"/>
      <c r="F69" s="51"/>
      <c r="G69" s="51"/>
      <c r="H69" s="60"/>
      <c r="I69" s="51"/>
    </row>
    <row r="70" spans="2:9">
      <c r="B70" s="51"/>
      <c r="C70" s="51"/>
      <c r="D70" s="51"/>
      <c r="E70" s="51"/>
      <c r="F70" s="51"/>
      <c r="G70" s="51"/>
      <c r="H70" s="60"/>
      <c r="I70" s="51"/>
    </row>
    <row r="71" spans="2:9">
      <c r="B71" s="51"/>
      <c r="C71" s="51"/>
      <c r="D71" s="51"/>
      <c r="E71" s="51"/>
      <c r="F71" s="51"/>
      <c r="G71" s="51"/>
      <c r="H71" s="60"/>
      <c r="I71" s="51"/>
    </row>
    <row r="72" spans="2:9">
      <c r="B72" s="51"/>
      <c r="C72" s="51"/>
      <c r="D72" s="51"/>
      <c r="E72" s="51"/>
      <c r="F72" s="51"/>
      <c r="G72" s="51"/>
      <c r="H72" s="60"/>
      <c r="I72" s="51"/>
    </row>
    <row r="73" spans="2:9">
      <c r="B73" s="51"/>
      <c r="C73" s="51"/>
      <c r="D73" s="51"/>
      <c r="E73" s="51"/>
      <c r="F73" s="51"/>
      <c r="G73" s="51"/>
      <c r="H73" s="60"/>
      <c r="I73" s="51"/>
    </row>
  </sheetData>
  <autoFilter ref="E2:E73" xr:uid="{00000000-0009-0000-0000-000005000000}"/>
  <mergeCells count="14">
    <mergeCell ref="B5:B9"/>
    <mergeCell ref="B11:B22"/>
    <mergeCell ref="B2:I2"/>
    <mergeCell ref="B24:B27"/>
    <mergeCell ref="B29:B32"/>
    <mergeCell ref="B42:B45"/>
    <mergeCell ref="B10:I10"/>
    <mergeCell ref="B23:I23"/>
    <mergeCell ref="B28:I28"/>
    <mergeCell ref="B33:I33"/>
    <mergeCell ref="B36:I36"/>
    <mergeCell ref="B41:I41"/>
    <mergeCell ref="B34:B35"/>
    <mergeCell ref="B37:B40"/>
  </mergeCells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3"/>
  <sheetViews>
    <sheetView showGridLines="0" zoomScale="85" zoomScaleNormal="85" workbookViewId="0"/>
  </sheetViews>
  <sheetFormatPr defaultColWidth="8.88671875" defaultRowHeight="13.5"/>
  <cols>
    <col min="1" max="1" width="2.33203125" style="51" customWidth="1"/>
    <col min="2" max="2" width="13" style="106" customWidth="1"/>
    <col min="3" max="3" width="24.21875" style="108" bestFit="1" customWidth="1"/>
    <col min="4" max="4" width="30.77734375" style="59" bestFit="1" customWidth="1"/>
    <col min="5" max="5" width="19.44140625" style="60" bestFit="1" customWidth="1"/>
    <col min="6" max="6" width="16.33203125" style="60" bestFit="1" customWidth="1"/>
    <col min="7" max="7" width="8.88671875" style="51"/>
    <col min="8" max="8" width="5.44140625" style="107" bestFit="1" customWidth="1"/>
    <col min="9" max="9" width="15.21875" style="51" bestFit="1" customWidth="1"/>
    <col min="10" max="16384" width="8.88671875" style="51"/>
  </cols>
  <sheetData>
    <row r="1" spans="2:11">
      <c r="C1" s="106"/>
      <c r="D1" s="51"/>
    </row>
    <row r="2" spans="2:11" ht="49.15" customHeight="1">
      <c r="B2" s="512" t="s">
        <v>193</v>
      </c>
      <c r="C2" s="509"/>
      <c r="D2" s="509"/>
      <c r="E2" s="509"/>
      <c r="F2" s="509"/>
      <c r="G2" s="179"/>
      <c r="H2" s="199"/>
      <c r="I2" s="64"/>
      <c r="J2" s="64"/>
      <c r="K2" s="64"/>
    </row>
    <row r="3" spans="2:11" ht="14.25" thickBot="1"/>
    <row r="4" spans="2:11" ht="25.9" customHeight="1" thickBot="1">
      <c r="B4" s="219" t="s">
        <v>61</v>
      </c>
      <c r="C4" s="220" t="s">
        <v>62</v>
      </c>
      <c r="D4" s="220" t="s">
        <v>63</v>
      </c>
      <c r="E4" s="221" t="s">
        <v>64</v>
      </c>
      <c r="F4" s="222" t="s">
        <v>65</v>
      </c>
      <c r="H4" s="510" t="s">
        <v>192</v>
      </c>
      <c r="I4" s="511"/>
    </row>
    <row r="5" spans="2:11">
      <c r="B5" s="205" t="s">
        <v>85</v>
      </c>
      <c r="C5" s="206">
        <v>10</v>
      </c>
      <c r="D5" s="154" t="s">
        <v>158</v>
      </c>
      <c r="E5" s="134"/>
      <c r="F5" s="207" t="s">
        <v>181</v>
      </c>
      <c r="H5" s="209" t="s">
        <v>188</v>
      </c>
      <c r="I5" s="210" t="s">
        <v>180</v>
      </c>
    </row>
    <row r="6" spans="2:11">
      <c r="B6" s="115" t="s">
        <v>86</v>
      </c>
      <c r="C6" s="109">
        <v>10</v>
      </c>
      <c r="D6" s="110" t="s">
        <v>159</v>
      </c>
      <c r="E6" s="111"/>
      <c r="F6" s="200" t="s">
        <v>181</v>
      </c>
      <c r="H6" s="113" t="s">
        <v>189</v>
      </c>
      <c r="I6" s="114" t="s">
        <v>70</v>
      </c>
    </row>
    <row r="7" spans="2:11">
      <c r="B7" s="115" t="s">
        <v>87</v>
      </c>
      <c r="C7" s="109">
        <v>10</v>
      </c>
      <c r="D7" s="110" t="s">
        <v>88</v>
      </c>
      <c r="E7" s="111"/>
      <c r="F7" s="200" t="s">
        <v>181</v>
      </c>
      <c r="H7" s="113" t="s">
        <v>190</v>
      </c>
      <c r="I7" s="114" t="s">
        <v>71</v>
      </c>
    </row>
    <row r="8" spans="2:11">
      <c r="B8" s="115" t="s">
        <v>89</v>
      </c>
      <c r="C8" s="109">
        <v>10</v>
      </c>
      <c r="D8" s="110" t="s">
        <v>179</v>
      </c>
      <c r="E8" s="111"/>
      <c r="F8" s="200" t="s">
        <v>71</v>
      </c>
      <c r="H8" s="113" t="s">
        <v>191</v>
      </c>
      <c r="I8" s="114" t="s">
        <v>72</v>
      </c>
    </row>
    <row r="9" spans="2:11">
      <c r="B9" s="115" t="s">
        <v>90</v>
      </c>
      <c r="C9" s="109">
        <v>10</v>
      </c>
      <c r="D9" s="110" t="s">
        <v>91</v>
      </c>
      <c r="E9" s="111"/>
      <c r="F9" s="200" t="s">
        <v>181</v>
      </c>
      <c r="H9" s="115">
        <v>20</v>
      </c>
      <c r="I9" s="114" t="s">
        <v>73</v>
      </c>
    </row>
    <row r="10" spans="2:11">
      <c r="B10" s="115" t="s">
        <v>66</v>
      </c>
      <c r="C10" s="109">
        <v>10</v>
      </c>
      <c r="D10" s="110" t="s">
        <v>94</v>
      </c>
      <c r="E10" s="111"/>
      <c r="F10" s="200" t="s">
        <v>181</v>
      </c>
      <c r="H10" s="115">
        <v>21</v>
      </c>
      <c r="I10" s="114" t="s">
        <v>74</v>
      </c>
    </row>
    <row r="11" spans="2:11">
      <c r="B11" s="115" t="s">
        <v>67</v>
      </c>
      <c r="C11" s="109">
        <v>10</v>
      </c>
      <c r="D11" s="110" t="s">
        <v>92</v>
      </c>
      <c r="E11" s="111"/>
      <c r="F11" s="200" t="s">
        <v>181</v>
      </c>
      <c r="H11" s="115">
        <v>30</v>
      </c>
      <c r="I11" s="114" t="s">
        <v>75</v>
      </c>
    </row>
    <row r="12" spans="2:11">
      <c r="B12" s="115" t="s">
        <v>68</v>
      </c>
      <c r="C12" s="109" t="s">
        <v>69</v>
      </c>
      <c r="D12" s="110" t="s">
        <v>160</v>
      </c>
      <c r="E12" s="111"/>
      <c r="F12" s="200" t="s">
        <v>84</v>
      </c>
      <c r="H12" s="115">
        <v>31</v>
      </c>
      <c r="I12" s="114" t="s">
        <v>76</v>
      </c>
    </row>
    <row r="13" spans="2:11">
      <c r="B13" s="115" t="s">
        <v>67</v>
      </c>
      <c r="C13" s="109">
        <v>10</v>
      </c>
      <c r="D13" s="116" t="s">
        <v>92</v>
      </c>
      <c r="E13" s="111"/>
      <c r="F13" s="200" t="s">
        <v>182</v>
      </c>
      <c r="H13" s="115">
        <v>32</v>
      </c>
      <c r="I13" s="114" t="s">
        <v>77</v>
      </c>
    </row>
    <row r="14" spans="2:11">
      <c r="B14" s="115" t="s">
        <v>93</v>
      </c>
      <c r="C14" s="109">
        <v>20</v>
      </c>
      <c r="D14" s="116" t="s">
        <v>94</v>
      </c>
      <c r="E14" s="111"/>
      <c r="F14" s="200" t="s">
        <v>73</v>
      </c>
      <c r="H14" s="115">
        <v>34</v>
      </c>
      <c r="I14" s="114" t="s">
        <v>78</v>
      </c>
    </row>
    <row r="15" spans="2:11">
      <c r="B15" s="115" t="s">
        <v>95</v>
      </c>
      <c r="C15" s="109" t="s">
        <v>96</v>
      </c>
      <c r="D15" s="110" t="s">
        <v>97</v>
      </c>
      <c r="E15" s="111"/>
      <c r="F15" s="200" t="s">
        <v>84</v>
      </c>
      <c r="H15" s="115">
        <v>40</v>
      </c>
      <c r="I15" s="114" t="s">
        <v>79</v>
      </c>
    </row>
    <row r="16" spans="2:11">
      <c r="B16" s="115" t="s">
        <v>98</v>
      </c>
      <c r="C16" s="109">
        <v>11</v>
      </c>
      <c r="D16" s="110" t="s">
        <v>113</v>
      </c>
      <c r="E16" s="111"/>
      <c r="F16" s="200" t="s">
        <v>72</v>
      </c>
      <c r="H16" s="115">
        <v>44</v>
      </c>
      <c r="I16" s="114" t="s">
        <v>80</v>
      </c>
    </row>
    <row r="17" spans="2:9">
      <c r="B17" s="115" t="s">
        <v>99</v>
      </c>
      <c r="C17" s="109" t="s">
        <v>100</v>
      </c>
      <c r="D17" s="110" t="s">
        <v>114</v>
      </c>
      <c r="E17" s="111"/>
      <c r="F17" s="200" t="s">
        <v>84</v>
      </c>
      <c r="H17" s="115">
        <v>50</v>
      </c>
      <c r="I17" s="114" t="s">
        <v>81</v>
      </c>
    </row>
    <row r="18" spans="2:9">
      <c r="B18" s="115" t="s">
        <v>102</v>
      </c>
      <c r="C18" s="109">
        <v>10</v>
      </c>
      <c r="D18" s="110" t="s">
        <v>103</v>
      </c>
      <c r="E18" s="111"/>
      <c r="F18" s="200" t="s">
        <v>183</v>
      </c>
      <c r="H18" s="115">
        <v>51</v>
      </c>
      <c r="I18" s="114" t="s">
        <v>82</v>
      </c>
    </row>
    <row r="19" spans="2:9">
      <c r="B19" s="115" t="s">
        <v>104</v>
      </c>
      <c r="C19" s="109">
        <v>10</v>
      </c>
      <c r="D19" s="110" t="s">
        <v>105</v>
      </c>
      <c r="E19" s="111"/>
      <c r="F19" s="200" t="s">
        <v>184</v>
      </c>
      <c r="H19" s="115">
        <v>52</v>
      </c>
      <c r="I19" s="114" t="s">
        <v>83</v>
      </c>
    </row>
    <row r="20" spans="2:9" ht="14.25" thickBot="1">
      <c r="B20" s="115" t="s">
        <v>106</v>
      </c>
      <c r="C20" s="109" t="s">
        <v>100</v>
      </c>
      <c r="D20" s="110" t="s">
        <v>107</v>
      </c>
      <c r="E20" s="111"/>
      <c r="F20" s="200" t="s">
        <v>73</v>
      </c>
      <c r="H20" s="117">
        <v>54</v>
      </c>
      <c r="I20" s="118" t="s">
        <v>84</v>
      </c>
    </row>
    <row r="21" spans="2:9">
      <c r="B21" s="115" t="s">
        <v>108</v>
      </c>
      <c r="C21" s="109" t="s">
        <v>109</v>
      </c>
      <c r="D21" s="110" t="s">
        <v>110</v>
      </c>
      <c r="E21" s="111"/>
      <c r="F21" s="200" t="s">
        <v>185</v>
      </c>
    </row>
    <row r="22" spans="2:9" ht="27">
      <c r="B22" s="115" t="s">
        <v>111</v>
      </c>
      <c r="C22" s="109" t="s">
        <v>100</v>
      </c>
      <c r="D22" s="110" t="s">
        <v>112</v>
      </c>
      <c r="E22" s="111"/>
      <c r="F22" s="200" t="s">
        <v>84</v>
      </c>
    </row>
    <row r="23" spans="2:9">
      <c r="B23" s="115" t="s">
        <v>115</v>
      </c>
      <c r="C23" s="109">
        <v>10</v>
      </c>
      <c r="D23" s="110" t="s">
        <v>116</v>
      </c>
      <c r="E23" s="111"/>
      <c r="F23" s="200" t="s">
        <v>181</v>
      </c>
    </row>
    <row r="24" spans="2:9">
      <c r="B24" s="115" t="s">
        <v>117</v>
      </c>
      <c r="C24" s="109">
        <v>20</v>
      </c>
      <c r="D24" s="110" t="s">
        <v>118</v>
      </c>
      <c r="E24" s="111"/>
      <c r="F24" s="200" t="s">
        <v>73</v>
      </c>
    </row>
    <row r="25" spans="2:9">
      <c r="B25" s="115" t="s">
        <v>119</v>
      </c>
      <c r="C25" s="109">
        <v>10</v>
      </c>
      <c r="D25" s="110" t="s">
        <v>120</v>
      </c>
      <c r="E25" s="111"/>
      <c r="F25" s="200" t="s">
        <v>184</v>
      </c>
    </row>
    <row r="26" spans="2:9">
      <c r="B26" s="115" t="s">
        <v>121</v>
      </c>
      <c r="C26" s="109" t="s">
        <v>122</v>
      </c>
      <c r="D26" s="110" t="s">
        <v>123</v>
      </c>
      <c r="E26" s="111"/>
      <c r="F26" s="200" t="s">
        <v>84</v>
      </c>
    </row>
    <row r="27" spans="2:9">
      <c r="B27" s="115" t="s">
        <v>124</v>
      </c>
      <c r="C27" s="109" t="s">
        <v>125</v>
      </c>
      <c r="D27" s="110" t="s">
        <v>126</v>
      </c>
      <c r="E27" s="111"/>
      <c r="F27" s="200" t="s">
        <v>185</v>
      </c>
    </row>
    <row r="28" spans="2:9">
      <c r="B28" s="115" t="s">
        <v>127</v>
      </c>
      <c r="C28" s="109" t="s">
        <v>128</v>
      </c>
      <c r="D28" s="110" t="s">
        <v>129</v>
      </c>
      <c r="E28" s="111"/>
      <c r="F28" s="200" t="s">
        <v>185</v>
      </c>
    </row>
    <row r="29" spans="2:9">
      <c r="B29" s="115" t="s">
        <v>130</v>
      </c>
      <c r="C29" s="109">
        <v>10</v>
      </c>
      <c r="D29" s="110" t="s">
        <v>131</v>
      </c>
      <c r="E29" s="111"/>
      <c r="F29" s="200" t="s">
        <v>181</v>
      </c>
    </row>
    <row r="30" spans="2:9">
      <c r="B30" s="115" t="s">
        <v>132</v>
      </c>
      <c r="C30" s="109">
        <v>10</v>
      </c>
      <c r="D30" s="110" t="s">
        <v>133</v>
      </c>
      <c r="E30" s="111"/>
      <c r="F30" s="200" t="s">
        <v>181</v>
      </c>
    </row>
    <row r="31" spans="2:9">
      <c r="B31" s="201" t="s">
        <v>134</v>
      </c>
      <c r="C31" s="109">
        <v>10</v>
      </c>
      <c r="D31" s="110" t="s">
        <v>135</v>
      </c>
      <c r="E31" s="111"/>
      <c r="F31" s="200" t="s">
        <v>181</v>
      </c>
    </row>
    <row r="32" spans="2:9">
      <c r="B32" s="201" t="s">
        <v>136</v>
      </c>
      <c r="C32" s="109">
        <v>20</v>
      </c>
      <c r="D32" s="110" t="s">
        <v>137</v>
      </c>
      <c r="E32" s="111"/>
      <c r="F32" s="200" t="s">
        <v>73</v>
      </c>
    </row>
    <row r="33" spans="2:6">
      <c r="B33" s="201" t="s">
        <v>138</v>
      </c>
      <c r="C33" s="109">
        <v>20</v>
      </c>
      <c r="D33" s="110" t="s">
        <v>129</v>
      </c>
      <c r="E33" s="111"/>
      <c r="F33" s="200" t="s">
        <v>73</v>
      </c>
    </row>
    <row r="34" spans="2:6">
      <c r="B34" s="201" t="s">
        <v>139</v>
      </c>
      <c r="C34" s="109">
        <v>10</v>
      </c>
      <c r="D34" s="110" t="s">
        <v>140</v>
      </c>
      <c r="E34" s="111"/>
      <c r="F34" s="200" t="s">
        <v>181</v>
      </c>
    </row>
    <row r="35" spans="2:6">
      <c r="B35" s="201" t="s">
        <v>141</v>
      </c>
      <c r="C35" s="109">
        <v>10</v>
      </c>
      <c r="D35" s="110" t="s">
        <v>142</v>
      </c>
      <c r="E35" s="111"/>
      <c r="F35" s="200" t="s">
        <v>181</v>
      </c>
    </row>
    <row r="36" spans="2:6">
      <c r="B36" s="201" t="s">
        <v>143</v>
      </c>
      <c r="C36" s="109">
        <v>10</v>
      </c>
      <c r="D36" s="110" t="s">
        <v>144</v>
      </c>
      <c r="E36" s="111"/>
      <c r="F36" s="200" t="s">
        <v>186</v>
      </c>
    </row>
    <row r="37" spans="2:6">
      <c r="B37" s="201" t="s">
        <v>145</v>
      </c>
      <c r="C37" s="109" t="s">
        <v>146</v>
      </c>
      <c r="D37" s="110" t="s">
        <v>147</v>
      </c>
      <c r="E37" s="111"/>
      <c r="F37" s="200" t="s">
        <v>73</v>
      </c>
    </row>
    <row r="38" spans="2:6" ht="27">
      <c r="B38" s="201" t="s">
        <v>148</v>
      </c>
      <c r="C38" s="109" t="s">
        <v>100</v>
      </c>
      <c r="D38" s="110" t="s">
        <v>149</v>
      </c>
      <c r="E38" s="111"/>
      <c r="F38" s="200" t="s">
        <v>84</v>
      </c>
    </row>
    <row r="39" spans="2:6">
      <c r="B39" s="201" t="s">
        <v>150</v>
      </c>
      <c r="C39" s="109">
        <v>10</v>
      </c>
      <c r="D39" s="110" t="s">
        <v>151</v>
      </c>
      <c r="E39" s="111"/>
      <c r="F39" s="200" t="s">
        <v>186</v>
      </c>
    </row>
    <row r="40" spans="2:6">
      <c r="B40" s="201" t="s">
        <v>152</v>
      </c>
      <c r="C40" s="109" t="s">
        <v>69</v>
      </c>
      <c r="D40" s="110" t="s">
        <v>153</v>
      </c>
      <c r="E40" s="111"/>
      <c r="F40" s="200" t="s">
        <v>84</v>
      </c>
    </row>
    <row r="41" spans="2:6">
      <c r="B41" s="201" t="s">
        <v>154</v>
      </c>
      <c r="C41" s="109">
        <v>20</v>
      </c>
      <c r="D41" s="110" t="s">
        <v>137</v>
      </c>
      <c r="E41" s="111"/>
      <c r="F41" s="200" t="s">
        <v>73</v>
      </c>
    </row>
    <row r="42" spans="2:6">
      <c r="B42" s="201" t="s">
        <v>155</v>
      </c>
      <c r="C42" s="109">
        <v>20</v>
      </c>
      <c r="D42" s="110" t="s">
        <v>153</v>
      </c>
      <c r="E42" s="111"/>
      <c r="F42" s="200" t="s">
        <v>73</v>
      </c>
    </row>
    <row r="43" spans="2:6" ht="27">
      <c r="B43" s="115" t="s">
        <v>156</v>
      </c>
      <c r="C43" s="109" t="s">
        <v>101</v>
      </c>
      <c r="D43" s="110" t="s">
        <v>157</v>
      </c>
      <c r="E43" s="111"/>
      <c r="F43" s="200" t="s">
        <v>185</v>
      </c>
    </row>
    <row r="44" spans="2:6" ht="27">
      <c r="B44" s="115" t="s">
        <v>161</v>
      </c>
      <c r="C44" s="109" t="s">
        <v>100</v>
      </c>
      <c r="D44" s="110" t="s">
        <v>162</v>
      </c>
      <c r="E44" s="111"/>
      <c r="F44" s="200" t="s">
        <v>84</v>
      </c>
    </row>
    <row r="45" spans="2:6">
      <c r="B45" s="115" t="s">
        <v>163</v>
      </c>
      <c r="C45" s="109" t="s">
        <v>164</v>
      </c>
      <c r="D45" s="110" t="s">
        <v>165</v>
      </c>
      <c r="E45" s="111"/>
      <c r="F45" s="200" t="s">
        <v>73</v>
      </c>
    </row>
    <row r="46" spans="2:6">
      <c r="B46" s="115" t="s">
        <v>166</v>
      </c>
      <c r="C46" s="109">
        <v>10</v>
      </c>
      <c r="D46" s="110" t="s">
        <v>167</v>
      </c>
      <c r="E46" s="111"/>
      <c r="F46" s="200" t="s">
        <v>181</v>
      </c>
    </row>
    <row r="47" spans="2:6">
      <c r="B47" s="115" t="s">
        <v>168</v>
      </c>
      <c r="C47" s="109">
        <v>10</v>
      </c>
      <c r="D47" s="110" t="s">
        <v>169</v>
      </c>
      <c r="E47" s="111"/>
      <c r="F47" s="200" t="s">
        <v>187</v>
      </c>
    </row>
    <row r="48" spans="2:6">
      <c r="B48" s="115" t="s">
        <v>170</v>
      </c>
      <c r="C48" s="109">
        <v>10</v>
      </c>
      <c r="D48" s="110" t="s">
        <v>171</v>
      </c>
      <c r="E48" s="111"/>
      <c r="F48" s="200" t="s">
        <v>187</v>
      </c>
    </row>
    <row r="49" spans="2:6">
      <c r="B49" s="115" t="s">
        <v>172</v>
      </c>
      <c r="C49" s="109">
        <v>20</v>
      </c>
      <c r="D49" s="110" t="s">
        <v>171</v>
      </c>
      <c r="E49" s="111"/>
      <c r="F49" s="200" t="s">
        <v>73</v>
      </c>
    </row>
    <row r="50" spans="2:6">
      <c r="B50" s="115" t="s">
        <v>173</v>
      </c>
      <c r="C50" s="109" t="s">
        <v>100</v>
      </c>
      <c r="D50" s="110" t="s">
        <v>118</v>
      </c>
      <c r="E50" s="111"/>
      <c r="F50" s="200" t="s">
        <v>84</v>
      </c>
    </row>
    <row r="51" spans="2:6" ht="27">
      <c r="B51" s="115" t="s">
        <v>174</v>
      </c>
      <c r="C51" s="109" t="s">
        <v>100</v>
      </c>
      <c r="D51" s="110" t="s">
        <v>418</v>
      </c>
      <c r="E51" s="111"/>
      <c r="F51" s="200" t="s">
        <v>84</v>
      </c>
    </row>
    <row r="52" spans="2:6">
      <c r="B52" s="115" t="s">
        <v>175</v>
      </c>
      <c r="C52" s="109" t="s">
        <v>101</v>
      </c>
      <c r="D52" s="110" t="s">
        <v>176</v>
      </c>
      <c r="E52" s="111"/>
      <c r="F52" s="200" t="s">
        <v>185</v>
      </c>
    </row>
    <row r="53" spans="2:6" ht="14.25" thickBot="1">
      <c r="B53" s="117" t="s">
        <v>177</v>
      </c>
      <c r="C53" s="202" t="s">
        <v>100</v>
      </c>
      <c r="D53" s="203" t="s">
        <v>178</v>
      </c>
      <c r="E53" s="145"/>
      <c r="F53" s="204" t="s">
        <v>84</v>
      </c>
    </row>
  </sheetData>
  <mergeCells count="2">
    <mergeCell ref="H4:I4"/>
    <mergeCell ref="B2:F2"/>
  </mergeCells>
  <phoneticPr fontId="2" type="noConversion"/>
  <pageMargins left="0.7" right="0.7" top="0.75" bottom="0.75" header="0.3" footer="0.3"/>
  <pageSetup paperSize="9" orientation="portrait" r:id="rId1"/>
  <ignoredErrors>
    <ignoredError sqref="H6:H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3"/>
  <sheetViews>
    <sheetView showGridLines="0" topLeftCell="A10" zoomScale="70" zoomScaleNormal="70" workbookViewId="0">
      <selection activeCell="A11" sqref="A11"/>
    </sheetView>
  </sheetViews>
  <sheetFormatPr defaultColWidth="8.88671875" defaultRowHeight="16.5"/>
  <cols>
    <col min="1" max="1" width="2.21875" style="44" customWidth="1"/>
    <col min="2" max="2" width="8.88671875" style="44"/>
    <col min="3" max="3" width="89" style="43" customWidth="1"/>
    <col min="4" max="4" width="67.5546875" style="43" customWidth="1"/>
    <col min="5" max="5" width="35.77734375" style="43" customWidth="1"/>
    <col min="6" max="6" width="10.21875" style="312" customWidth="1"/>
    <col min="7" max="7" width="29.21875" style="44" customWidth="1"/>
    <col min="8" max="16384" width="8.88671875" style="44"/>
  </cols>
  <sheetData>
    <row r="2" spans="2:7" ht="60.6" customHeight="1">
      <c r="B2" s="513" t="s">
        <v>200</v>
      </c>
      <c r="C2" s="514"/>
      <c r="D2" s="119"/>
      <c r="E2" s="119"/>
    </row>
    <row r="3" spans="2:7" ht="17.25" thickBot="1"/>
    <row r="4" spans="2:7" ht="36.6" customHeight="1" thickBot="1">
      <c r="B4" s="236" t="s">
        <v>196</v>
      </c>
      <c r="C4" s="237" t="s">
        <v>222</v>
      </c>
      <c r="D4" s="237" t="s">
        <v>223</v>
      </c>
      <c r="E4" s="237" t="s">
        <v>539</v>
      </c>
      <c r="F4" s="237" t="s">
        <v>199</v>
      </c>
      <c r="G4" s="238" t="s">
        <v>204</v>
      </c>
    </row>
    <row r="5" spans="2:7">
      <c r="B5" s="232">
        <v>1</v>
      </c>
      <c r="C5" s="233" t="s">
        <v>221</v>
      </c>
      <c r="D5" s="234"/>
      <c r="E5" s="234"/>
      <c r="F5" s="313"/>
      <c r="G5" s="235"/>
    </row>
    <row r="6" spans="2:7">
      <c r="B6" s="227">
        <v>2</v>
      </c>
      <c r="C6" s="121" t="s">
        <v>197</v>
      </c>
      <c r="D6" s="45"/>
      <c r="E6" s="45"/>
      <c r="F6" s="314"/>
      <c r="G6" s="228"/>
    </row>
    <row r="7" spans="2:7" ht="33">
      <c r="B7" s="227">
        <v>3</v>
      </c>
      <c r="C7" s="120" t="s">
        <v>198</v>
      </c>
      <c r="D7" s="46"/>
      <c r="E7" s="46"/>
      <c r="F7" s="314"/>
      <c r="G7" s="228"/>
    </row>
    <row r="8" spans="2:7" ht="408.6" customHeight="1">
      <c r="B8" s="227">
        <v>5</v>
      </c>
      <c r="C8" s="120" t="s">
        <v>528</v>
      </c>
      <c r="D8" s="46"/>
      <c r="E8" s="46"/>
      <c r="F8" s="314"/>
      <c r="G8" s="305" t="s">
        <v>534</v>
      </c>
    </row>
    <row r="9" spans="2:7" ht="301.14999999999998" customHeight="1">
      <c r="B9" s="232">
        <v>6</v>
      </c>
      <c r="C9" s="120" t="s">
        <v>540</v>
      </c>
      <c r="D9" s="46"/>
      <c r="E9" s="46" t="s">
        <v>541</v>
      </c>
      <c r="F9" s="314"/>
      <c r="G9" s="228"/>
    </row>
    <row r="10" spans="2:7" ht="328.9" customHeight="1">
      <c r="B10" s="227">
        <v>7</v>
      </c>
      <c r="C10" s="120" t="s">
        <v>429</v>
      </c>
      <c r="D10" s="46"/>
      <c r="E10" s="46"/>
      <c r="F10" s="314"/>
      <c r="G10" s="228"/>
    </row>
    <row r="11" spans="2:7" ht="276" customHeight="1">
      <c r="B11" s="232">
        <v>11</v>
      </c>
      <c r="C11" s="122" t="s">
        <v>225</v>
      </c>
      <c r="D11" s="46"/>
      <c r="E11" s="46"/>
      <c r="F11" s="314"/>
      <c r="G11" s="228"/>
    </row>
    <row r="12" spans="2:7" ht="271.14999999999998" customHeight="1">
      <c r="B12" s="227">
        <v>12</v>
      </c>
      <c r="C12" s="120" t="s">
        <v>224</v>
      </c>
      <c r="D12" s="46"/>
      <c r="E12" s="46"/>
      <c r="F12" s="314"/>
      <c r="G12" s="228"/>
    </row>
    <row r="13" spans="2:7" ht="258" customHeight="1" thickBot="1">
      <c r="B13" s="232">
        <v>14</v>
      </c>
      <c r="C13" s="229" t="s">
        <v>226</v>
      </c>
      <c r="D13" s="230"/>
      <c r="E13" s="230"/>
      <c r="F13" s="315"/>
      <c r="G13" s="231"/>
    </row>
  </sheetData>
  <mergeCells count="1">
    <mergeCell ref="B2:C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91"/>
  <sheetViews>
    <sheetView showGridLines="0" zoomScale="85" zoomScaleNormal="85" workbookViewId="0"/>
  </sheetViews>
  <sheetFormatPr defaultColWidth="8.88671875" defaultRowHeight="13.5"/>
  <cols>
    <col min="1" max="1" width="2.21875" style="51" customWidth="1"/>
    <col min="2" max="2" width="15.109375" style="60" customWidth="1"/>
    <col min="3" max="3" width="27.44140625" style="51" bestFit="1" customWidth="1"/>
    <col min="4" max="4" width="16.6640625" style="60" customWidth="1"/>
    <col min="5" max="5" width="6.88671875" style="60" customWidth="1"/>
    <col min="6" max="6" width="25.21875" style="60" customWidth="1"/>
    <col min="7" max="7" width="49.21875" style="51" bestFit="1" customWidth="1"/>
    <col min="8" max="8" width="25.88671875" style="51" customWidth="1"/>
    <col min="9" max="16384" width="8.88671875" style="51"/>
  </cols>
  <sheetData>
    <row r="2" spans="2:8" ht="43.9" customHeight="1">
      <c r="B2" s="515" t="s">
        <v>397</v>
      </c>
      <c r="C2" s="515"/>
      <c r="D2" s="515"/>
      <c r="E2" s="515"/>
      <c r="F2" s="515"/>
      <c r="G2" s="515"/>
      <c r="H2" s="515"/>
    </row>
    <row r="3" spans="2:8" ht="14.25" thickBot="1">
      <c r="B3" s="129"/>
      <c r="D3" s="61"/>
      <c r="E3" s="61"/>
      <c r="F3" s="61"/>
      <c r="G3" s="52"/>
      <c r="H3" s="52"/>
    </row>
    <row r="4" spans="2:8" ht="51" customHeight="1" thickBot="1">
      <c r="B4" s="223" t="s">
        <v>49</v>
      </c>
      <c r="C4" s="224" t="s">
        <v>201</v>
      </c>
      <c r="D4" s="224" t="s">
        <v>47</v>
      </c>
      <c r="E4" s="224" t="s">
        <v>202</v>
      </c>
      <c r="F4" s="224" t="s">
        <v>425</v>
      </c>
      <c r="G4" s="224" t="s">
        <v>48</v>
      </c>
      <c r="H4" s="225" t="s">
        <v>46</v>
      </c>
    </row>
    <row r="5" spans="2:8" ht="27">
      <c r="B5" s="152"/>
      <c r="C5" s="156" t="s">
        <v>227</v>
      </c>
      <c r="D5" s="134"/>
      <c r="E5" s="134"/>
      <c r="F5" s="153"/>
      <c r="G5" s="154" t="s">
        <v>262</v>
      </c>
      <c r="H5" s="155"/>
    </row>
    <row r="6" spans="2:8" ht="27">
      <c r="B6" s="141"/>
      <c r="C6" s="112" t="s">
        <v>230</v>
      </c>
      <c r="D6" s="111"/>
      <c r="E6" s="130"/>
      <c r="F6" s="149"/>
      <c r="G6" s="125" t="s">
        <v>398</v>
      </c>
      <c r="H6" s="142"/>
    </row>
    <row r="7" spans="2:8">
      <c r="B7" s="141"/>
      <c r="C7" s="112" t="s">
        <v>231</v>
      </c>
      <c r="D7" s="111"/>
      <c r="E7" s="111"/>
      <c r="F7" s="148"/>
      <c r="G7" s="110" t="s">
        <v>266</v>
      </c>
      <c r="H7" s="142"/>
    </row>
    <row r="8" spans="2:8">
      <c r="B8" s="137"/>
      <c r="C8" s="112" t="s">
        <v>260</v>
      </c>
      <c r="D8" s="111"/>
      <c r="E8" s="130"/>
      <c r="F8" s="149"/>
      <c r="G8" s="136" t="s">
        <v>298</v>
      </c>
      <c r="H8" s="114"/>
    </row>
    <row r="9" spans="2:8">
      <c r="B9" s="137"/>
      <c r="C9" s="112" t="s">
        <v>261</v>
      </c>
      <c r="D9" s="111"/>
      <c r="E9" s="111"/>
      <c r="F9" s="149"/>
      <c r="G9" s="136" t="s">
        <v>299</v>
      </c>
      <c r="H9" s="114"/>
    </row>
    <row r="10" spans="2:8">
      <c r="B10" s="137"/>
      <c r="C10" s="112" t="s">
        <v>259</v>
      </c>
      <c r="D10" s="111"/>
      <c r="E10" s="111"/>
      <c r="F10" s="149"/>
      <c r="G10" s="136" t="s">
        <v>297</v>
      </c>
      <c r="H10" s="114"/>
    </row>
    <row r="11" spans="2:8">
      <c r="B11" s="141"/>
      <c r="C11" s="140" t="s">
        <v>228</v>
      </c>
      <c r="D11" s="111"/>
      <c r="E11" s="130"/>
      <c r="F11" s="148"/>
      <c r="G11" s="126" t="s">
        <v>263</v>
      </c>
      <c r="H11" s="142"/>
    </row>
    <row r="12" spans="2:8">
      <c r="B12" s="141"/>
      <c r="C12" s="112" t="s">
        <v>247</v>
      </c>
      <c r="D12" s="111"/>
      <c r="E12" s="111"/>
      <c r="F12" s="148"/>
      <c r="G12" s="136" t="s">
        <v>288</v>
      </c>
      <c r="H12" s="142"/>
    </row>
    <row r="13" spans="2:8">
      <c r="B13" s="141"/>
      <c r="C13" s="135" t="s">
        <v>280</v>
      </c>
      <c r="D13" s="111"/>
      <c r="E13" s="111"/>
      <c r="F13" s="149"/>
      <c r="G13" s="136" t="s">
        <v>283</v>
      </c>
      <c r="H13" s="142"/>
    </row>
    <row r="14" spans="2:8">
      <c r="B14" s="141"/>
      <c r="C14" s="112" t="s">
        <v>237</v>
      </c>
      <c r="D14" s="111"/>
      <c r="E14" s="130"/>
      <c r="F14" s="149"/>
      <c r="G14" s="116" t="s">
        <v>270</v>
      </c>
      <c r="H14" s="142"/>
    </row>
    <row r="15" spans="2:8">
      <c r="B15" s="141"/>
      <c r="C15" s="140" t="s">
        <v>234</v>
      </c>
      <c r="D15" s="111"/>
      <c r="E15" s="111"/>
      <c r="F15" s="149"/>
      <c r="G15" s="116" t="s">
        <v>267</v>
      </c>
      <c r="H15" s="142"/>
    </row>
    <row r="16" spans="2:8">
      <c r="B16" s="141"/>
      <c r="C16" s="112" t="s">
        <v>236</v>
      </c>
      <c r="D16" s="111"/>
      <c r="E16" s="111"/>
      <c r="F16" s="148"/>
      <c r="G16" s="110" t="s">
        <v>269</v>
      </c>
      <c r="H16" s="142"/>
    </row>
    <row r="17" spans="2:8" ht="27">
      <c r="B17" s="141"/>
      <c r="C17" s="112" t="s">
        <v>233</v>
      </c>
      <c r="D17" s="111"/>
      <c r="E17" s="130"/>
      <c r="F17" s="148"/>
      <c r="G17" s="110" t="s">
        <v>301</v>
      </c>
      <c r="H17" s="142"/>
    </row>
    <row r="18" spans="2:8">
      <c r="B18" s="141"/>
      <c r="C18" s="140" t="s">
        <v>238</v>
      </c>
      <c r="D18" s="111"/>
      <c r="E18" s="111"/>
      <c r="F18" s="149"/>
      <c r="G18" s="110" t="s">
        <v>271</v>
      </c>
      <c r="H18" s="143"/>
    </row>
    <row r="19" spans="2:8">
      <c r="B19" s="141"/>
      <c r="C19" s="112" t="s">
        <v>235</v>
      </c>
      <c r="D19" s="111"/>
      <c r="E19" s="130"/>
      <c r="F19" s="148"/>
      <c r="G19" s="110" t="s">
        <v>268</v>
      </c>
      <c r="H19" s="142"/>
    </row>
    <row r="20" spans="2:8">
      <c r="B20" s="141"/>
      <c r="C20" s="112" t="s">
        <v>239</v>
      </c>
      <c r="D20" s="111"/>
      <c r="E20" s="130"/>
      <c r="F20" s="148"/>
      <c r="G20" s="110" t="s">
        <v>272</v>
      </c>
      <c r="H20" s="142"/>
    </row>
    <row r="21" spans="2:8">
      <c r="B21" s="141"/>
      <c r="C21" s="140" t="s">
        <v>240</v>
      </c>
      <c r="D21" s="111"/>
      <c r="E21" s="111"/>
      <c r="F21" s="149"/>
      <c r="G21" s="110" t="s">
        <v>273</v>
      </c>
      <c r="H21" s="142"/>
    </row>
    <row r="22" spans="2:8">
      <c r="B22" s="141"/>
      <c r="C22" s="112" t="s">
        <v>241</v>
      </c>
      <c r="D22" s="111"/>
      <c r="E22" s="130"/>
      <c r="F22" s="149"/>
      <c r="G22" s="116" t="s">
        <v>274</v>
      </c>
      <c r="H22" s="142"/>
    </row>
    <row r="23" spans="2:8">
      <c r="B23" s="141"/>
      <c r="C23" s="112" t="s">
        <v>312</v>
      </c>
      <c r="D23" s="111"/>
      <c r="E23" s="111"/>
      <c r="F23" s="149"/>
      <c r="G23" s="110" t="s">
        <v>275</v>
      </c>
      <c r="H23" s="142"/>
    </row>
    <row r="24" spans="2:8">
      <c r="B24" s="141"/>
      <c r="C24" s="140" t="s">
        <v>242</v>
      </c>
      <c r="D24" s="111"/>
      <c r="E24" s="130"/>
      <c r="F24" s="149"/>
      <c r="G24" s="116" t="s">
        <v>276</v>
      </c>
      <c r="H24" s="142"/>
    </row>
    <row r="25" spans="2:8">
      <c r="B25" s="141"/>
      <c r="C25" s="112" t="s">
        <v>243</v>
      </c>
      <c r="D25" s="111"/>
      <c r="E25" s="111"/>
      <c r="F25" s="149"/>
      <c r="G25" s="116" t="s">
        <v>277</v>
      </c>
      <c r="H25" s="142"/>
    </row>
    <row r="26" spans="2:8" ht="40.5">
      <c r="B26" s="141"/>
      <c r="C26" s="140" t="s">
        <v>244</v>
      </c>
      <c r="D26" s="111"/>
      <c r="E26" s="130"/>
      <c r="F26" s="149"/>
      <c r="G26" s="110" t="s">
        <v>302</v>
      </c>
      <c r="H26" s="142"/>
    </row>
    <row r="27" spans="2:8" ht="27">
      <c r="B27" s="141"/>
      <c r="C27" s="135" t="s">
        <v>285</v>
      </c>
      <c r="D27" s="111"/>
      <c r="E27" s="111"/>
      <c r="F27" s="149"/>
      <c r="G27" s="136" t="s">
        <v>303</v>
      </c>
      <c r="H27" s="142"/>
    </row>
    <row r="28" spans="2:8" ht="27">
      <c r="B28" s="141"/>
      <c r="C28" s="135" t="s">
        <v>279</v>
      </c>
      <c r="D28" s="111"/>
      <c r="E28" s="130"/>
      <c r="F28" s="149"/>
      <c r="G28" s="136" t="s">
        <v>304</v>
      </c>
      <c r="H28" s="142"/>
    </row>
    <row r="29" spans="2:8">
      <c r="B29" s="141"/>
      <c r="C29" s="140" t="s">
        <v>245</v>
      </c>
      <c r="D29" s="111"/>
      <c r="E29" s="111"/>
      <c r="F29" s="149"/>
      <c r="G29" s="136" t="s">
        <v>286</v>
      </c>
      <c r="H29" s="142"/>
    </row>
    <row r="30" spans="2:8" ht="27">
      <c r="B30" s="141"/>
      <c r="C30" s="135" t="s">
        <v>281</v>
      </c>
      <c r="D30" s="111"/>
      <c r="E30" s="130"/>
      <c r="F30" s="149"/>
      <c r="G30" s="136" t="s">
        <v>305</v>
      </c>
      <c r="H30" s="142"/>
    </row>
    <row r="31" spans="2:8">
      <c r="B31" s="141"/>
      <c r="C31" s="135" t="s">
        <v>282</v>
      </c>
      <c r="D31" s="111"/>
      <c r="E31" s="111"/>
      <c r="F31" s="149"/>
      <c r="G31" s="136" t="s">
        <v>287</v>
      </c>
      <c r="H31" s="142"/>
    </row>
    <row r="32" spans="2:8" ht="27">
      <c r="B32" s="141"/>
      <c r="C32" s="112" t="s">
        <v>246</v>
      </c>
      <c r="D32" s="111"/>
      <c r="E32" s="130"/>
      <c r="F32" s="148"/>
      <c r="G32" s="136" t="s">
        <v>306</v>
      </c>
      <c r="H32" s="142"/>
    </row>
    <row r="33" spans="2:8">
      <c r="B33" s="141"/>
      <c r="C33" s="140" t="s">
        <v>249</v>
      </c>
      <c r="D33" s="111"/>
      <c r="E33" s="111"/>
      <c r="F33" s="148"/>
      <c r="G33" s="157" t="s">
        <v>290</v>
      </c>
      <c r="H33" s="142"/>
    </row>
    <row r="34" spans="2:8" ht="27">
      <c r="B34" s="141"/>
      <c r="C34" s="112" t="s">
        <v>250</v>
      </c>
      <c r="D34" s="111"/>
      <c r="E34" s="130"/>
      <c r="F34" s="149"/>
      <c r="G34" s="136" t="s">
        <v>399</v>
      </c>
      <c r="H34" s="142"/>
    </row>
    <row r="35" spans="2:8">
      <c r="B35" s="137"/>
      <c r="C35" s="112" t="s">
        <v>256</v>
      </c>
      <c r="D35" s="111"/>
      <c r="E35" s="130"/>
      <c r="F35" s="148"/>
      <c r="G35" s="136" t="s">
        <v>295</v>
      </c>
      <c r="H35" s="114"/>
    </row>
    <row r="36" spans="2:8" ht="27">
      <c r="B36" s="141"/>
      <c r="C36" s="112" t="s">
        <v>252</v>
      </c>
      <c r="D36" s="111"/>
      <c r="E36" s="130"/>
      <c r="F36" s="148"/>
      <c r="G36" s="110" t="s">
        <v>309</v>
      </c>
      <c r="H36" s="142"/>
    </row>
    <row r="37" spans="2:8">
      <c r="B37" s="141"/>
      <c r="C37" s="112" t="s">
        <v>255</v>
      </c>
      <c r="D37" s="111"/>
      <c r="E37" s="111"/>
      <c r="F37" s="149"/>
      <c r="G37" s="136" t="s">
        <v>294</v>
      </c>
      <c r="H37" s="114"/>
    </row>
    <row r="38" spans="2:8">
      <c r="B38" s="141"/>
      <c r="C38" s="112" t="s">
        <v>251</v>
      </c>
      <c r="D38" s="111"/>
      <c r="E38" s="111"/>
      <c r="F38" s="149"/>
      <c r="G38" s="157" t="s">
        <v>292</v>
      </c>
      <c r="H38" s="142"/>
    </row>
    <row r="39" spans="2:8">
      <c r="B39" s="141"/>
      <c r="C39" s="140" t="s">
        <v>254</v>
      </c>
      <c r="D39" s="111"/>
      <c r="E39" s="130"/>
      <c r="F39" s="149"/>
      <c r="G39" s="136" t="s">
        <v>293</v>
      </c>
      <c r="H39" s="142"/>
    </row>
    <row r="40" spans="2:8" ht="27">
      <c r="B40" s="141"/>
      <c r="C40" s="112" t="s">
        <v>253</v>
      </c>
      <c r="D40" s="111"/>
      <c r="E40" s="111"/>
      <c r="F40" s="149"/>
      <c r="G40" s="136" t="s">
        <v>307</v>
      </c>
      <c r="H40" s="142"/>
    </row>
    <row r="41" spans="2:8">
      <c r="B41" s="137"/>
      <c r="C41" s="112" t="s">
        <v>257</v>
      </c>
      <c r="D41" s="111"/>
      <c r="E41" s="111"/>
      <c r="F41" s="149"/>
      <c r="G41" s="136" t="s">
        <v>300</v>
      </c>
      <c r="H41" s="114"/>
    </row>
    <row r="42" spans="2:8">
      <c r="B42" s="141"/>
      <c r="C42" s="112" t="s">
        <v>229</v>
      </c>
      <c r="D42" s="111"/>
      <c r="E42" s="111"/>
      <c r="F42" s="150"/>
      <c r="G42" s="126" t="s">
        <v>264</v>
      </c>
      <c r="H42" s="142"/>
    </row>
    <row r="43" spans="2:8">
      <c r="B43" s="141"/>
      <c r="C43" s="112" t="s">
        <v>248</v>
      </c>
      <c r="D43" s="111"/>
      <c r="E43" s="130"/>
      <c r="F43" s="148"/>
      <c r="G43" s="136" t="s">
        <v>289</v>
      </c>
      <c r="H43" s="142"/>
    </row>
    <row r="44" spans="2:8">
      <c r="B44" s="141"/>
      <c r="C44" s="135" t="s">
        <v>278</v>
      </c>
      <c r="D44" s="111"/>
      <c r="E44" s="130"/>
      <c r="F44" s="149"/>
      <c r="G44" s="136" t="s">
        <v>284</v>
      </c>
      <c r="H44" s="142"/>
    </row>
    <row r="45" spans="2:8" ht="14.25" thickBot="1">
      <c r="B45" s="144"/>
      <c r="C45" s="138" t="s">
        <v>258</v>
      </c>
      <c r="D45" s="145"/>
      <c r="E45" s="146"/>
      <c r="F45" s="151"/>
      <c r="G45" s="139" t="s">
        <v>296</v>
      </c>
      <c r="H45" s="118"/>
    </row>
    <row r="49" spans="2:8">
      <c r="B49" s="106"/>
    </row>
    <row r="50" spans="2:8" ht="40.5" hidden="1">
      <c r="B50" s="53" t="s">
        <v>49</v>
      </c>
      <c r="C50" s="55" t="s">
        <v>201</v>
      </c>
      <c r="D50" s="55" t="s">
        <v>47</v>
      </c>
      <c r="E50" s="55" t="s">
        <v>202</v>
      </c>
      <c r="F50" s="55" t="s">
        <v>308</v>
      </c>
      <c r="G50" s="55" t="s">
        <v>48</v>
      </c>
      <c r="H50" s="54" t="s">
        <v>43</v>
      </c>
    </row>
    <row r="51" spans="2:8" ht="27" hidden="1">
      <c r="B51" s="56"/>
      <c r="C51" s="116" t="s">
        <v>227</v>
      </c>
      <c r="D51" s="111" t="s">
        <v>332</v>
      </c>
      <c r="E51" s="111" t="s">
        <v>333</v>
      </c>
      <c r="F51" s="130"/>
      <c r="G51" s="110" t="s">
        <v>262</v>
      </c>
      <c r="H51" s="131"/>
    </row>
    <row r="52" spans="2:8" hidden="1">
      <c r="B52" s="56"/>
      <c r="C52" s="110" t="s">
        <v>228</v>
      </c>
      <c r="D52" s="111" t="s">
        <v>313</v>
      </c>
      <c r="E52" s="130" t="s">
        <v>334</v>
      </c>
      <c r="F52" s="130"/>
      <c r="G52" s="126" t="s">
        <v>263</v>
      </c>
      <c r="H52" s="131"/>
    </row>
    <row r="53" spans="2:8" hidden="1">
      <c r="B53" s="56"/>
      <c r="C53" s="116" t="s">
        <v>229</v>
      </c>
      <c r="D53" s="111" t="s">
        <v>374</v>
      </c>
      <c r="E53" s="111" t="s">
        <v>335</v>
      </c>
      <c r="F53" s="56"/>
      <c r="G53" s="126" t="s">
        <v>264</v>
      </c>
      <c r="H53" s="131"/>
    </row>
    <row r="54" spans="2:8" ht="27" hidden="1">
      <c r="B54" s="56"/>
      <c r="C54" s="116" t="s">
        <v>230</v>
      </c>
      <c r="D54" s="111" t="s">
        <v>314</v>
      </c>
      <c r="E54" s="130" t="s">
        <v>336</v>
      </c>
      <c r="F54" s="111"/>
      <c r="G54" s="125" t="s">
        <v>265</v>
      </c>
      <c r="H54" s="131"/>
    </row>
    <row r="55" spans="2:8" hidden="1">
      <c r="B55" s="56"/>
      <c r="C55" s="116" t="s">
        <v>231</v>
      </c>
      <c r="D55" s="111" t="s">
        <v>315</v>
      </c>
      <c r="E55" s="111" t="s">
        <v>337</v>
      </c>
      <c r="F55" s="130"/>
      <c r="G55" s="110" t="s">
        <v>266</v>
      </c>
      <c r="H55" s="131"/>
    </row>
    <row r="56" spans="2:8" ht="27" hidden="1">
      <c r="B56" s="56"/>
      <c r="C56" s="116" t="s">
        <v>203</v>
      </c>
      <c r="D56" s="111" t="s">
        <v>316</v>
      </c>
      <c r="E56" s="130" t="s">
        <v>338</v>
      </c>
      <c r="F56" s="130"/>
      <c r="G56" s="110" t="s">
        <v>301</v>
      </c>
      <c r="H56" s="131"/>
    </row>
    <row r="57" spans="2:8" hidden="1">
      <c r="B57" s="56"/>
      <c r="C57" s="110" t="s">
        <v>234</v>
      </c>
      <c r="D57" s="111" t="s">
        <v>317</v>
      </c>
      <c r="E57" s="111" t="s">
        <v>339</v>
      </c>
      <c r="F57" s="111"/>
      <c r="G57" s="116" t="s">
        <v>267</v>
      </c>
      <c r="H57" s="131"/>
    </row>
    <row r="58" spans="2:8" hidden="1">
      <c r="B58" s="56"/>
      <c r="C58" s="116" t="s">
        <v>235</v>
      </c>
      <c r="D58" s="111" t="s">
        <v>318</v>
      </c>
      <c r="E58" s="130" t="s">
        <v>340</v>
      </c>
      <c r="F58" s="130"/>
      <c r="G58" s="110" t="s">
        <v>268</v>
      </c>
      <c r="H58" s="131"/>
    </row>
    <row r="59" spans="2:8" hidden="1">
      <c r="B59" s="56"/>
      <c r="C59" s="116" t="s">
        <v>236</v>
      </c>
      <c r="D59" s="111" t="s">
        <v>319</v>
      </c>
      <c r="E59" s="111" t="s">
        <v>341</v>
      </c>
      <c r="F59" s="130"/>
      <c r="G59" s="110" t="s">
        <v>269</v>
      </c>
      <c r="H59" s="131"/>
    </row>
    <row r="60" spans="2:8" hidden="1">
      <c r="B60" s="56"/>
      <c r="C60" s="116" t="s">
        <v>237</v>
      </c>
      <c r="D60" s="111" t="s">
        <v>320</v>
      </c>
      <c r="E60" s="130" t="s">
        <v>342</v>
      </c>
      <c r="F60" s="111"/>
      <c r="G60" s="116" t="s">
        <v>270</v>
      </c>
      <c r="H60" s="131"/>
    </row>
    <row r="61" spans="2:8" hidden="1">
      <c r="B61" s="56"/>
      <c r="C61" s="110" t="s">
        <v>238</v>
      </c>
      <c r="D61" s="111" t="s">
        <v>321</v>
      </c>
      <c r="E61" s="111" t="s">
        <v>343</v>
      </c>
      <c r="F61" s="111"/>
      <c r="G61" s="110" t="s">
        <v>271</v>
      </c>
      <c r="H61" s="110"/>
    </row>
    <row r="62" spans="2:8" hidden="1">
      <c r="B62" s="56"/>
      <c r="C62" s="116" t="s">
        <v>239</v>
      </c>
      <c r="D62" s="111" t="s">
        <v>322</v>
      </c>
      <c r="E62" s="130" t="s">
        <v>344</v>
      </c>
      <c r="F62" s="130"/>
      <c r="G62" s="110" t="s">
        <v>272</v>
      </c>
      <c r="H62" s="131"/>
    </row>
    <row r="63" spans="2:8" hidden="1">
      <c r="B63" s="56"/>
      <c r="C63" s="110" t="s">
        <v>240</v>
      </c>
      <c r="D63" s="111" t="s">
        <v>323</v>
      </c>
      <c r="E63" s="111" t="s">
        <v>345</v>
      </c>
      <c r="F63" s="111"/>
      <c r="G63" s="110" t="s">
        <v>273</v>
      </c>
      <c r="H63" s="131"/>
    </row>
    <row r="64" spans="2:8" hidden="1">
      <c r="B64" s="56"/>
      <c r="C64" s="116" t="s">
        <v>241</v>
      </c>
      <c r="D64" s="111" t="s">
        <v>324</v>
      </c>
      <c r="E64" s="130" t="s">
        <v>346</v>
      </c>
      <c r="F64" s="111"/>
      <c r="G64" s="116" t="s">
        <v>274</v>
      </c>
      <c r="H64" s="131"/>
    </row>
    <row r="65" spans="2:8" hidden="1">
      <c r="B65" s="56"/>
      <c r="C65" s="116" t="s">
        <v>312</v>
      </c>
      <c r="D65" s="111" t="s">
        <v>325</v>
      </c>
      <c r="E65" s="111" t="s">
        <v>347</v>
      </c>
      <c r="F65" s="111"/>
      <c r="G65" s="110" t="s">
        <v>275</v>
      </c>
      <c r="H65" s="131"/>
    </row>
    <row r="66" spans="2:8" hidden="1">
      <c r="B66" s="56"/>
      <c r="C66" s="110" t="s">
        <v>242</v>
      </c>
      <c r="D66" s="111" t="s">
        <v>326</v>
      </c>
      <c r="E66" s="130" t="s">
        <v>348</v>
      </c>
      <c r="F66" s="111"/>
      <c r="G66" s="116" t="s">
        <v>276</v>
      </c>
      <c r="H66" s="131"/>
    </row>
    <row r="67" spans="2:8" hidden="1">
      <c r="B67" s="56"/>
      <c r="C67" s="116" t="s">
        <v>194</v>
      </c>
      <c r="D67" s="111" t="s">
        <v>327</v>
      </c>
      <c r="E67" s="111" t="s">
        <v>349</v>
      </c>
      <c r="F67" s="111"/>
      <c r="G67" s="116" t="s">
        <v>277</v>
      </c>
      <c r="H67" s="131"/>
    </row>
    <row r="68" spans="2:8" ht="40.5" hidden="1">
      <c r="B68" s="56"/>
      <c r="C68" s="110" t="s">
        <v>244</v>
      </c>
      <c r="D68" s="111" t="s">
        <v>328</v>
      </c>
      <c r="E68" s="130" t="s">
        <v>350</v>
      </c>
      <c r="F68" s="111"/>
      <c r="G68" s="110" t="s">
        <v>302</v>
      </c>
      <c r="H68" s="131"/>
    </row>
    <row r="69" spans="2:8" hidden="1">
      <c r="B69" s="56"/>
      <c r="C69" s="127" t="s">
        <v>280</v>
      </c>
      <c r="D69" s="111" t="s">
        <v>329</v>
      </c>
      <c r="E69" s="111" t="s">
        <v>351</v>
      </c>
      <c r="F69" s="111"/>
      <c r="G69" s="127" t="s">
        <v>283</v>
      </c>
      <c r="H69" s="131"/>
    </row>
    <row r="70" spans="2:8" hidden="1">
      <c r="B70" s="56"/>
      <c r="C70" s="127" t="s">
        <v>278</v>
      </c>
      <c r="D70" s="111" t="s">
        <v>330</v>
      </c>
      <c r="E70" s="130" t="s">
        <v>352</v>
      </c>
      <c r="F70" s="111"/>
      <c r="G70" s="127" t="s">
        <v>284</v>
      </c>
      <c r="H70" s="131"/>
    </row>
    <row r="71" spans="2:8" ht="27" hidden="1">
      <c r="B71" s="56"/>
      <c r="C71" s="127" t="s">
        <v>285</v>
      </c>
      <c r="D71" s="111" t="s">
        <v>331</v>
      </c>
      <c r="E71" s="111" t="s">
        <v>353</v>
      </c>
      <c r="F71" s="111"/>
      <c r="G71" s="127" t="s">
        <v>303</v>
      </c>
      <c r="H71" s="131"/>
    </row>
    <row r="72" spans="2:8" ht="27" hidden="1">
      <c r="B72" s="56"/>
      <c r="C72" s="127" t="s">
        <v>279</v>
      </c>
      <c r="D72" s="111" t="s">
        <v>375</v>
      </c>
      <c r="E72" s="130" t="s">
        <v>354</v>
      </c>
      <c r="F72" s="111"/>
      <c r="G72" s="127" t="s">
        <v>304</v>
      </c>
      <c r="H72" s="131"/>
    </row>
    <row r="73" spans="2:8" hidden="1">
      <c r="B73" s="56"/>
      <c r="C73" s="110" t="s">
        <v>245</v>
      </c>
      <c r="D73" s="111" t="s">
        <v>376</v>
      </c>
      <c r="E73" s="111" t="s">
        <v>355</v>
      </c>
      <c r="F73" s="111"/>
      <c r="G73" s="127" t="s">
        <v>286</v>
      </c>
      <c r="H73" s="131"/>
    </row>
    <row r="74" spans="2:8" ht="27" hidden="1">
      <c r="B74" s="56"/>
      <c r="C74" s="127" t="s">
        <v>281</v>
      </c>
      <c r="D74" s="111" t="s">
        <v>377</v>
      </c>
      <c r="E74" s="130" t="s">
        <v>356</v>
      </c>
      <c r="F74" s="111"/>
      <c r="G74" s="127" t="s">
        <v>305</v>
      </c>
      <c r="H74" s="131"/>
    </row>
    <row r="75" spans="2:8" hidden="1">
      <c r="B75" s="56"/>
      <c r="C75" s="127" t="s">
        <v>282</v>
      </c>
      <c r="D75" s="111" t="s">
        <v>378</v>
      </c>
      <c r="E75" s="111" t="s">
        <v>357</v>
      </c>
      <c r="F75" s="111"/>
      <c r="G75" s="127" t="s">
        <v>287</v>
      </c>
      <c r="H75" s="131"/>
    </row>
    <row r="76" spans="2:8" ht="27" hidden="1">
      <c r="B76" s="56"/>
      <c r="C76" s="116" t="s">
        <v>246</v>
      </c>
      <c r="D76" s="111" t="s">
        <v>379</v>
      </c>
      <c r="E76" s="130" t="s">
        <v>358</v>
      </c>
      <c r="F76" s="130"/>
      <c r="G76" s="127" t="s">
        <v>306</v>
      </c>
      <c r="H76" s="131"/>
    </row>
    <row r="77" spans="2:8" hidden="1">
      <c r="B77" s="56"/>
      <c r="C77" s="116" t="s">
        <v>247</v>
      </c>
      <c r="D77" s="111" t="s">
        <v>380</v>
      </c>
      <c r="E77" s="111" t="s">
        <v>359</v>
      </c>
      <c r="F77" s="130"/>
      <c r="G77" s="127" t="s">
        <v>288</v>
      </c>
      <c r="H77" s="131"/>
    </row>
    <row r="78" spans="2:8" hidden="1">
      <c r="B78" s="56"/>
      <c r="C78" s="116" t="s">
        <v>248</v>
      </c>
      <c r="D78" s="111" t="s">
        <v>381</v>
      </c>
      <c r="E78" s="130" t="s">
        <v>360</v>
      </c>
      <c r="F78" s="130"/>
      <c r="G78" s="127" t="s">
        <v>289</v>
      </c>
      <c r="H78" s="131"/>
    </row>
    <row r="79" spans="2:8" hidden="1">
      <c r="B79" s="56"/>
      <c r="C79" s="110" t="s">
        <v>249</v>
      </c>
      <c r="D79" s="111" t="s">
        <v>382</v>
      </c>
      <c r="E79" s="111" t="s">
        <v>361</v>
      </c>
      <c r="F79" s="130"/>
      <c r="G79" s="128" t="s">
        <v>290</v>
      </c>
      <c r="H79" s="131"/>
    </row>
    <row r="80" spans="2:8" ht="27" hidden="1">
      <c r="B80" s="56"/>
      <c r="C80" s="116" t="s">
        <v>250</v>
      </c>
      <c r="D80" s="111" t="s">
        <v>383</v>
      </c>
      <c r="E80" s="130" t="s">
        <v>362</v>
      </c>
      <c r="F80" s="111"/>
      <c r="G80" s="127" t="s">
        <v>291</v>
      </c>
      <c r="H80" s="131"/>
    </row>
    <row r="81" spans="2:8" hidden="1">
      <c r="B81" s="56"/>
      <c r="C81" s="116" t="s">
        <v>251</v>
      </c>
      <c r="D81" s="111" t="s">
        <v>384</v>
      </c>
      <c r="E81" s="111" t="s">
        <v>363</v>
      </c>
      <c r="F81" s="111"/>
      <c r="G81" s="128" t="s">
        <v>292</v>
      </c>
      <c r="H81" s="131"/>
    </row>
    <row r="82" spans="2:8" ht="27" hidden="1">
      <c r="B82" s="56"/>
      <c r="C82" s="116" t="s">
        <v>252</v>
      </c>
      <c r="D82" s="111" t="s">
        <v>385</v>
      </c>
      <c r="E82" s="130" t="s">
        <v>364</v>
      </c>
      <c r="F82" s="130"/>
      <c r="G82" s="110" t="s">
        <v>309</v>
      </c>
      <c r="H82" s="131"/>
    </row>
    <row r="83" spans="2:8" ht="27" hidden="1">
      <c r="B83" s="56"/>
      <c r="C83" s="116" t="s">
        <v>253</v>
      </c>
      <c r="D83" s="111" t="s">
        <v>386</v>
      </c>
      <c r="E83" s="111" t="s">
        <v>365</v>
      </c>
      <c r="F83" s="111"/>
      <c r="G83" s="127" t="s">
        <v>307</v>
      </c>
      <c r="H83" s="131"/>
    </row>
    <row r="84" spans="2:8" hidden="1">
      <c r="B84" s="56"/>
      <c r="C84" s="110" t="s">
        <v>254</v>
      </c>
      <c r="D84" s="111" t="s">
        <v>387</v>
      </c>
      <c r="E84" s="130" t="s">
        <v>366</v>
      </c>
      <c r="F84" s="111"/>
      <c r="G84" s="127" t="s">
        <v>293</v>
      </c>
      <c r="H84" s="131"/>
    </row>
    <row r="85" spans="2:8" hidden="1">
      <c r="B85" s="56"/>
      <c r="C85" s="116" t="s">
        <v>255</v>
      </c>
      <c r="D85" s="111" t="s">
        <v>388</v>
      </c>
      <c r="E85" s="111" t="s">
        <v>367</v>
      </c>
      <c r="F85" s="111"/>
      <c r="G85" s="127" t="s">
        <v>294</v>
      </c>
      <c r="H85" s="116"/>
    </row>
    <row r="86" spans="2:8" hidden="1">
      <c r="B86" s="111"/>
      <c r="C86" s="116" t="s">
        <v>256</v>
      </c>
      <c r="D86" s="111" t="s">
        <v>389</v>
      </c>
      <c r="E86" s="130" t="s">
        <v>368</v>
      </c>
      <c r="F86" s="124"/>
      <c r="G86" s="127" t="s">
        <v>295</v>
      </c>
      <c r="H86" s="116"/>
    </row>
    <row r="87" spans="2:8" hidden="1">
      <c r="B87" s="111"/>
      <c r="C87" s="116" t="s">
        <v>257</v>
      </c>
      <c r="D87" s="111" t="s">
        <v>390</v>
      </c>
      <c r="E87" s="111" t="s">
        <v>369</v>
      </c>
      <c r="F87" s="111"/>
      <c r="G87" s="127" t="s">
        <v>300</v>
      </c>
      <c r="H87" s="116"/>
    </row>
    <row r="88" spans="2:8" hidden="1">
      <c r="B88" s="111"/>
      <c r="C88" s="116" t="s">
        <v>258</v>
      </c>
      <c r="D88" s="111" t="s">
        <v>391</v>
      </c>
      <c r="E88" s="130" t="s">
        <v>370</v>
      </c>
      <c r="F88" s="111"/>
      <c r="G88" s="127" t="s">
        <v>296</v>
      </c>
      <c r="H88" s="116"/>
    </row>
    <row r="89" spans="2:8" hidden="1">
      <c r="B89" s="111"/>
      <c r="C89" s="116" t="s">
        <v>259</v>
      </c>
      <c r="D89" s="111" t="s">
        <v>392</v>
      </c>
      <c r="E89" s="111" t="s">
        <v>371</v>
      </c>
      <c r="F89" s="111"/>
      <c r="G89" s="127" t="s">
        <v>297</v>
      </c>
      <c r="H89" s="116"/>
    </row>
    <row r="90" spans="2:8" hidden="1">
      <c r="B90" s="111"/>
      <c r="C90" s="116" t="s">
        <v>260</v>
      </c>
      <c r="D90" s="111" t="s">
        <v>393</v>
      </c>
      <c r="E90" s="130" t="s">
        <v>372</v>
      </c>
      <c r="F90" s="111"/>
      <c r="G90" s="127" t="s">
        <v>298</v>
      </c>
      <c r="H90" s="116"/>
    </row>
    <row r="91" spans="2:8" hidden="1">
      <c r="B91" s="111"/>
      <c r="C91" s="116" t="s">
        <v>261</v>
      </c>
      <c r="D91" s="111" t="s">
        <v>394</v>
      </c>
      <c r="E91" s="111" t="s">
        <v>373</v>
      </c>
      <c r="F91" s="111"/>
      <c r="G91" s="127" t="s">
        <v>299</v>
      </c>
      <c r="H91" s="116"/>
    </row>
  </sheetData>
  <sortState xmlns:xlrd2="http://schemas.microsoft.com/office/spreadsheetml/2017/richdata2" ref="B5:H45">
    <sortCondition ref="C5"/>
  </sortState>
  <mergeCells count="1"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74"/>
  <sheetViews>
    <sheetView showGridLines="0" tabSelected="1" topLeftCell="A171" zoomScale="70" zoomScaleNormal="70" workbookViewId="0">
      <selection activeCell="H180" sqref="H180"/>
    </sheetView>
  </sheetViews>
  <sheetFormatPr defaultColWidth="8.88671875" defaultRowHeight="27" customHeight="1"/>
  <cols>
    <col min="1" max="1" width="2.44140625" style="48" customWidth="1"/>
    <col min="2" max="3" width="6.77734375" style="43" customWidth="1"/>
    <col min="4" max="5" width="35.77734375" style="295" customWidth="1"/>
    <col min="6" max="6" width="8.77734375" style="312" customWidth="1"/>
    <col min="7" max="7" width="24.77734375" style="295" customWidth="1"/>
    <col min="8" max="8" width="47.77734375" style="43" customWidth="1"/>
    <col min="9" max="10" width="15.77734375" style="43" customWidth="1"/>
    <col min="11" max="11" width="14.77734375" style="44" customWidth="1"/>
    <col min="12" max="16384" width="8.88671875" style="48"/>
  </cols>
  <sheetData>
    <row r="1" spans="1:11" ht="27" customHeight="1">
      <c r="B1" s="50"/>
      <c r="C1" s="50"/>
      <c r="D1" s="50"/>
      <c r="E1" s="50"/>
      <c r="F1" s="398"/>
      <c r="G1" s="50"/>
      <c r="H1" s="50"/>
      <c r="I1" s="50"/>
      <c r="J1" s="50"/>
      <c r="K1" s="48"/>
    </row>
    <row r="2" spans="1:11" ht="27" customHeight="1">
      <c r="A2" s="47"/>
      <c r="B2" s="554" t="s">
        <v>494</v>
      </c>
      <c r="C2" s="554"/>
      <c r="D2" s="554"/>
      <c r="E2" s="554"/>
      <c r="F2" s="554"/>
      <c r="G2" s="554"/>
      <c r="H2" s="554"/>
      <c r="I2" s="554"/>
      <c r="J2" s="554"/>
      <c r="K2" s="554"/>
    </row>
    <row r="3" spans="1:11" ht="27" customHeight="1" thickBot="1">
      <c r="A3" s="47"/>
      <c r="B3" s="49"/>
      <c r="C3" s="49"/>
      <c r="D3" s="123"/>
      <c r="E3" s="123"/>
      <c r="F3" s="399"/>
      <c r="G3" s="123"/>
      <c r="H3" s="49"/>
      <c r="I3" s="49"/>
      <c r="J3" s="49"/>
      <c r="K3" s="48"/>
    </row>
    <row r="4" spans="1:11" ht="27" customHeight="1" thickBot="1">
      <c r="B4" s="292" t="s">
        <v>465</v>
      </c>
      <c r="C4" s="293" t="s">
        <v>466</v>
      </c>
      <c r="D4" s="293" t="s">
        <v>467</v>
      </c>
      <c r="E4" s="293" t="s">
        <v>487</v>
      </c>
      <c r="F4" s="293" t="s">
        <v>738</v>
      </c>
      <c r="G4" s="293" t="s">
        <v>468</v>
      </c>
      <c r="H4" s="293" t="s">
        <v>495</v>
      </c>
      <c r="I4" s="293" t="s">
        <v>496</v>
      </c>
      <c r="J4" s="293" t="s">
        <v>721</v>
      </c>
      <c r="K4" s="294" t="s">
        <v>13</v>
      </c>
    </row>
    <row r="5" spans="1:11" ht="27" customHeight="1">
      <c r="B5" s="539">
        <v>10101</v>
      </c>
      <c r="C5" s="533">
        <v>10101</v>
      </c>
      <c r="D5" s="533" t="s">
        <v>486</v>
      </c>
      <c r="E5" s="533" t="s">
        <v>488</v>
      </c>
      <c r="F5" s="321">
        <v>0</v>
      </c>
      <c r="G5" s="296" t="s">
        <v>469</v>
      </c>
      <c r="H5" s="319" t="s">
        <v>497</v>
      </c>
      <c r="I5" s="320"/>
      <c r="J5" s="320"/>
      <c r="K5" s="522"/>
    </row>
    <row r="6" spans="1:11" ht="27" customHeight="1">
      <c r="B6" s="540"/>
      <c r="C6" s="534"/>
      <c r="D6" s="534"/>
      <c r="E6" s="534"/>
      <c r="F6" s="299">
        <v>1</v>
      </c>
      <c r="G6" s="296" t="s">
        <v>470</v>
      </c>
      <c r="H6" s="319" t="s">
        <v>500</v>
      </c>
      <c r="I6" s="300"/>
      <c r="J6" s="300"/>
      <c r="K6" s="523"/>
    </row>
    <row r="7" spans="1:11" ht="27" customHeight="1">
      <c r="B7" s="540"/>
      <c r="C7" s="534"/>
      <c r="D7" s="534"/>
      <c r="E7" s="534"/>
      <c r="F7" s="299">
        <v>2</v>
      </c>
      <c r="G7" s="296" t="s">
        <v>471</v>
      </c>
      <c r="H7" s="296" t="s">
        <v>501</v>
      </c>
      <c r="I7" s="300"/>
      <c r="J7" s="300"/>
      <c r="K7" s="523"/>
    </row>
    <row r="8" spans="1:11" ht="27" customHeight="1" thickBot="1">
      <c r="B8" s="541"/>
      <c r="C8" s="535"/>
      <c r="D8" s="535"/>
      <c r="E8" s="535"/>
      <c r="F8" s="301">
        <v>3</v>
      </c>
      <c r="G8" s="297" t="s">
        <v>472</v>
      </c>
      <c r="H8" s="297" t="s">
        <v>312</v>
      </c>
      <c r="I8" s="299"/>
      <c r="J8" s="299"/>
      <c r="K8" s="524"/>
    </row>
    <row r="9" spans="1:11" ht="27" customHeight="1">
      <c r="B9" s="539">
        <v>10102</v>
      </c>
      <c r="C9" s="533">
        <v>10102</v>
      </c>
      <c r="D9" s="533" t="s">
        <v>542</v>
      </c>
      <c r="E9" s="533" t="s">
        <v>710</v>
      </c>
      <c r="F9" s="303">
        <v>0</v>
      </c>
      <c r="G9" s="296" t="s">
        <v>469</v>
      </c>
      <c r="H9" s="319" t="s">
        <v>497</v>
      </c>
      <c r="I9" s="321"/>
      <c r="J9" s="321"/>
      <c r="K9" s="522"/>
    </row>
    <row r="10" spans="1:11" ht="94.5">
      <c r="B10" s="540"/>
      <c r="C10" s="534"/>
      <c r="D10" s="534"/>
      <c r="E10" s="534"/>
      <c r="F10" s="299">
        <v>1</v>
      </c>
      <c r="G10" s="296" t="s">
        <v>473</v>
      </c>
      <c r="H10" s="319" t="s">
        <v>507</v>
      </c>
      <c r="I10" s="300"/>
      <c r="J10" s="300"/>
      <c r="K10" s="523"/>
    </row>
    <row r="11" spans="1:11" ht="94.5">
      <c r="B11" s="540"/>
      <c r="C11" s="534"/>
      <c r="D11" s="534"/>
      <c r="E11" s="534"/>
      <c r="F11" s="299">
        <v>2</v>
      </c>
      <c r="G11" s="296" t="s">
        <v>474</v>
      </c>
      <c r="H11" s="319" t="s">
        <v>506</v>
      </c>
      <c r="I11" s="300"/>
      <c r="J11" s="300"/>
      <c r="K11" s="523"/>
    </row>
    <row r="12" spans="1:11" ht="27" customHeight="1">
      <c r="B12" s="540"/>
      <c r="C12" s="534"/>
      <c r="D12" s="534"/>
      <c r="E12" s="534"/>
      <c r="F12" s="299">
        <v>3</v>
      </c>
      <c r="G12" s="296" t="s">
        <v>475</v>
      </c>
      <c r="H12" s="296" t="s">
        <v>503</v>
      </c>
      <c r="I12" s="300"/>
      <c r="J12" s="300"/>
      <c r="K12" s="523"/>
    </row>
    <row r="13" spans="1:11" ht="27" customHeight="1">
      <c r="B13" s="540"/>
      <c r="C13" s="534"/>
      <c r="D13" s="534"/>
      <c r="E13" s="534"/>
      <c r="F13" s="299">
        <v>4</v>
      </c>
      <c r="G13" s="296" t="s">
        <v>476</v>
      </c>
      <c r="H13" s="296" t="s">
        <v>504</v>
      </c>
      <c r="I13" s="299"/>
      <c r="J13" s="299"/>
      <c r="K13" s="523"/>
    </row>
    <row r="14" spans="1:11" ht="27" customHeight="1">
      <c r="B14" s="540"/>
      <c r="C14" s="534"/>
      <c r="D14" s="534"/>
      <c r="E14" s="534"/>
      <c r="F14" s="299">
        <v>5</v>
      </c>
      <c r="G14" s="296" t="s">
        <v>477</v>
      </c>
      <c r="H14" s="296" t="s">
        <v>505</v>
      </c>
      <c r="I14" s="299"/>
      <c r="J14" s="299"/>
      <c r="K14" s="523"/>
    </row>
    <row r="15" spans="1:11" ht="27" customHeight="1" thickBot="1">
      <c r="B15" s="541"/>
      <c r="C15" s="535"/>
      <c r="D15" s="535"/>
      <c r="E15" s="535"/>
      <c r="F15" s="301">
        <v>6</v>
      </c>
      <c r="G15" s="297" t="s">
        <v>472</v>
      </c>
      <c r="H15" s="297" t="s">
        <v>312</v>
      </c>
      <c r="I15" s="299"/>
      <c r="J15" s="299"/>
      <c r="K15" s="524"/>
    </row>
    <row r="16" spans="1:11" ht="27" customHeight="1">
      <c r="B16" s="539">
        <v>40101</v>
      </c>
      <c r="C16" s="533">
        <v>40101</v>
      </c>
      <c r="D16" s="533" t="s">
        <v>310</v>
      </c>
      <c r="E16" s="533" t="s">
        <v>489</v>
      </c>
      <c r="F16" s="303">
        <v>0</v>
      </c>
      <c r="G16" s="296" t="s">
        <v>469</v>
      </c>
      <c r="H16" s="304" t="s">
        <v>498</v>
      </c>
      <c r="I16" s="321"/>
      <c r="J16" s="321"/>
      <c r="K16" s="522"/>
    </row>
    <row r="17" spans="2:11" ht="27" customHeight="1">
      <c r="B17" s="540"/>
      <c r="C17" s="534"/>
      <c r="D17" s="534"/>
      <c r="E17" s="534"/>
      <c r="F17" s="299">
        <v>1</v>
      </c>
      <c r="G17" s="296" t="s">
        <v>395</v>
      </c>
      <c r="H17" s="329" t="s">
        <v>557</v>
      </c>
      <c r="I17" s="299"/>
      <c r="J17" s="299"/>
      <c r="K17" s="523"/>
    </row>
    <row r="18" spans="2:11" ht="54">
      <c r="B18" s="540"/>
      <c r="C18" s="534"/>
      <c r="D18" s="534"/>
      <c r="E18" s="534"/>
      <c r="F18" s="299">
        <v>2</v>
      </c>
      <c r="G18" s="296" t="s">
        <v>478</v>
      </c>
      <c r="H18" s="304" t="s">
        <v>509</v>
      </c>
      <c r="I18" s="299"/>
      <c r="J18" s="299"/>
      <c r="K18" s="523"/>
    </row>
    <row r="19" spans="2:11" ht="27" customHeight="1">
      <c r="B19" s="540"/>
      <c r="C19" s="534"/>
      <c r="D19" s="534"/>
      <c r="E19" s="534"/>
      <c r="F19" s="299">
        <v>3</v>
      </c>
      <c r="G19" s="337" t="s">
        <v>551</v>
      </c>
      <c r="H19" s="338" t="s">
        <v>552</v>
      </c>
      <c r="I19" s="299"/>
      <c r="J19" s="299"/>
      <c r="K19" s="523"/>
    </row>
    <row r="20" spans="2:11" ht="27" customHeight="1" thickBot="1">
      <c r="B20" s="541"/>
      <c r="C20" s="535"/>
      <c r="D20" s="535"/>
      <c r="E20" s="535"/>
      <c r="F20" s="301">
        <v>4</v>
      </c>
      <c r="G20" s="297" t="s">
        <v>472</v>
      </c>
      <c r="H20" s="297" t="s">
        <v>502</v>
      </c>
      <c r="I20" s="299"/>
      <c r="J20" s="299"/>
      <c r="K20" s="524"/>
    </row>
    <row r="21" spans="2:11" ht="27" customHeight="1">
      <c r="B21" s="539">
        <v>20106</v>
      </c>
      <c r="C21" s="533">
        <v>20106</v>
      </c>
      <c r="D21" s="533" t="s">
        <v>563</v>
      </c>
      <c r="E21" s="533" t="s">
        <v>564</v>
      </c>
      <c r="F21" s="303">
        <v>0</v>
      </c>
      <c r="G21" s="323" t="s">
        <v>469</v>
      </c>
      <c r="H21" s="324" t="s">
        <v>497</v>
      </c>
      <c r="I21" s="352"/>
      <c r="J21" s="352"/>
      <c r="K21" s="544"/>
    </row>
    <row r="22" spans="2:11" ht="27" customHeight="1">
      <c r="B22" s="540"/>
      <c r="C22" s="534"/>
      <c r="D22" s="534"/>
      <c r="E22" s="534"/>
      <c r="F22" s="299">
        <v>1</v>
      </c>
      <c r="G22" s="350" t="s">
        <v>565</v>
      </c>
      <c r="H22" s="378" t="s">
        <v>566</v>
      </c>
      <c r="I22" s="330"/>
      <c r="J22" s="330"/>
      <c r="K22" s="545"/>
    </row>
    <row r="23" spans="2:11" ht="27" customHeight="1">
      <c r="B23" s="540"/>
      <c r="C23" s="534"/>
      <c r="D23" s="534"/>
      <c r="E23" s="534"/>
      <c r="F23" s="299">
        <v>2</v>
      </c>
      <c r="G23" s="350" t="s">
        <v>567</v>
      </c>
      <c r="H23" s="353" t="s">
        <v>573</v>
      </c>
      <c r="I23" s="330"/>
      <c r="J23" s="330"/>
      <c r="K23" s="545"/>
    </row>
    <row r="24" spans="2:11" ht="27" customHeight="1">
      <c r="B24" s="540"/>
      <c r="C24" s="534"/>
      <c r="D24" s="534"/>
      <c r="E24" s="534"/>
      <c r="F24" s="299">
        <v>3</v>
      </c>
      <c r="G24" s="350" t="s">
        <v>395</v>
      </c>
      <c r="H24" s="354" t="s">
        <v>287</v>
      </c>
      <c r="I24" s="330"/>
      <c r="J24" s="330"/>
      <c r="K24" s="545"/>
    </row>
    <row r="25" spans="2:11" ht="27" customHeight="1">
      <c r="B25" s="540"/>
      <c r="C25" s="534"/>
      <c r="D25" s="534"/>
      <c r="E25" s="534"/>
      <c r="F25" s="299">
        <v>4</v>
      </c>
      <c r="G25" s="350" t="s">
        <v>569</v>
      </c>
      <c r="H25" s="351" t="s">
        <v>571</v>
      </c>
      <c r="I25" s="330"/>
      <c r="J25" s="330"/>
      <c r="K25" s="545"/>
    </row>
    <row r="26" spans="2:11" ht="27" customHeight="1" thickBot="1">
      <c r="B26" s="541"/>
      <c r="C26" s="535"/>
      <c r="D26" s="535"/>
      <c r="E26" s="535"/>
      <c r="F26" s="301">
        <v>5</v>
      </c>
      <c r="G26" s="355" t="s">
        <v>472</v>
      </c>
      <c r="H26" s="297" t="s">
        <v>502</v>
      </c>
      <c r="I26" s="356"/>
      <c r="J26" s="356"/>
      <c r="K26" s="546"/>
    </row>
    <row r="27" spans="2:11" ht="27" customHeight="1">
      <c r="B27" s="539">
        <v>40102</v>
      </c>
      <c r="C27" s="533">
        <v>40102</v>
      </c>
      <c r="D27" s="533" t="s">
        <v>479</v>
      </c>
      <c r="E27" s="533" t="s">
        <v>537</v>
      </c>
      <c r="F27" s="303">
        <v>0</v>
      </c>
      <c r="G27" s="296" t="s">
        <v>469</v>
      </c>
      <c r="H27" s="304" t="s">
        <v>499</v>
      </c>
      <c r="I27" s="321"/>
      <c r="J27" s="321"/>
      <c r="K27" s="522"/>
    </row>
    <row r="28" spans="2:11" ht="27" customHeight="1">
      <c r="B28" s="540"/>
      <c r="C28" s="534"/>
      <c r="D28" s="534"/>
      <c r="E28" s="534"/>
      <c r="F28" s="299">
        <v>1</v>
      </c>
      <c r="G28" s="296" t="s">
        <v>396</v>
      </c>
      <c r="H28" s="296" t="s">
        <v>232</v>
      </c>
      <c r="I28" s="299"/>
      <c r="J28" s="299"/>
      <c r="K28" s="523"/>
    </row>
    <row r="29" spans="2:11" ht="27" customHeight="1">
      <c r="B29" s="540"/>
      <c r="C29" s="534"/>
      <c r="D29" s="534"/>
      <c r="E29" s="534"/>
      <c r="F29" s="299">
        <v>2</v>
      </c>
      <c r="G29" s="296" t="s">
        <v>395</v>
      </c>
      <c r="H29" s="296" t="s">
        <v>282</v>
      </c>
      <c r="I29" s="299"/>
      <c r="J29" s="299"/>
      <c r="K29" s="523"/>
    </row>
    <row r="30" spans="2:11" ht="27" customHeight="1" thickBot="1">
      <c r="B30" s="541"/>
      <c r="C30" s="535"/>
      <c r="D30" s="535"/>
      <c r="E30" s="535"/>
      <c r="F30" s="301">
        <v>3</v>
      </c>
      <c r="G30" s="297" t="s">
        <v>472</v>
      </c>
      <c r="H30" s="297" t="s">
        <v>508</v>
      </c>
      <c r="I30" s="302"/>
      <c r="J30" s="302"/>
      <c r="K30" s="524"/>
    </row>
    <row r="31" spans="2:11" ht="27" customHeight="1">
      <c r="B31" s="555">
        <v>20107</v>
      </c>
      <c r="C31" s="547">
        <v>20107</v>
      </c>
      <c r="D31" s="547" t="s">
        <v>635</v>
      </c>
      <c r="E31" s="547" t="s">
        <v>636</v>
      </c>
      <c r="F31" s="363">
        <v>0</v>
      </c>
      <c r="G31" s="359" t="s">
        <v>469</v>
      </c>
      <c r="H31" s="386" t="s">
        <v>497</v>
      </c>
      <c r="I31" s="387"/>
      <c r="J31" s="387"/>
      <c r="K31" s="544"/>
    </row>
    <row r="32" spans="2:11" ht="27" customHeight="1">
      <c r="B32" s="556"/>
      <c r="C32" s="548"/>
      <c r="D32" s="548"/>
      <c r="E32" s="548"/>
      <c r="F32" s="362">
        <v>1</v>
      </c>
      <c r="G32" s="388" t="s">
        <v>535</v>
      </c>
      <c r="H32" s="389" t="s">
        <v>572</v>
      </c>
      <c r="I32" s="390"/>
      <c r="J32" s="390"/>
      <c r="K32" s="545"/>
    </row>
    <row r="33" spans="2:11" ht="27" customHeight="1">
      <c r="B33" s="556"/>
      <c r="C33" s="548"/>
      <c r="D33" s="548"/>
      <c r="E33" s="548"/>
      <c r="F33" s="362">
        <v>2</v>
      </c>
      <c r="G33" s="388" t="s">
        <v>700</v>
      </c>
      <c r="H33" s="389" t="s">
        <v>251</v>
      </c>
      <c r="I33" s="390"/>
      <c r="J33" s="390"/>
      <c r="K33" s="545"/>
    </row>
    <row r="34" spans="2:11" ht="27" customHeight="1">
      <c r="B34" s="556"/>
      <c r="C34" s="548"/>
      <c r="D34" s="548"/>
      <c r="E34" s="548"/>
      <c r="F34" s="362">
        <v>3</v>
      </c>
      <c r="G34" s="388" t="s">
        <v>395</v>
      </c>
      <c r="H34" s="391" t="s">
        <v>287</v>
      </c>
      <c r="I34" s="390"/>
      <c r="J34" s="390"/>
      <c r="K34" s="545"/>
    </row>
    <row r="35" spans="2:11" ht="27" customHeight="1" thickBot="1">
      <c r="B35" s="557"/>
      <c r="C35" s="549"/>
      <c r="D35" s="549"/>
      <c r="E35" s="549"/>
      <c r="F35" s="364">
        <v>4</v>
      </c>
      <c r="G35" s="392" t="s">
        <v>472</v>
      </c>
      <c r="H35" s="385" t="s">
        <v>312</v>
      </c>
      <c r="I35" s="393"/>
      <c r="J35" s="393"/>
      <c r="K35" s="546"/>
    </row>
    <row r="36" spans="2:11" ht="27" customHeight="1">
      <c r="B36" s="539">
        <v>20101</v>
      </c>
      <c r="C36" s="533">
        <v>20101</v>
      </c>
      <c r="D36" s="533" t="s">
        <v>311</v>
      </c>
      <c r="E36" s="533" t="s">
        <v>574</v>
      </c>
      <c r="F36" s="303">
        <v>0</v>
      </c>
      <c r="G36" s="296" t="s">
        <v>469</v>
      </c>
      <c r="H36" s="304" t="s">
        <v>499</v>
      </c>
      <c r="I36" s="303"/>
      <c r="J36" s="303"/>
      <c r="K36" s="522"/>
    </row>
    <row r="37" spans="2:11" ht="27" customHeight="1">
      <c r="B37" s="540"/>
      <c r="C37" s="534"/>
      <c r="D37" s="534"/>
      <c r="E37" s="534"/>
      <c r="F37" s="299">
        <v>1</v>
      </c>
      <c r="G37" s="350" t="s">
        <v>567</v>
      </c>
      <c r="H37" s="353" t="s">
        <v>572</v>
      </c>
      <c r="I37" s="299"/>
      <c r="J37" s="299"/>
      <c r="K37" s="523"/>
    </row>
    <row r="38" spans="2:11" ht="27" customHeight="1">
      <c r="B38" s="540"/>
      <c r="C38" s="534"/>
      <c r="D38" s="534"/>
      <c r="E38" s="534"/>
      <c r="F38" s="299">
        <v>2</v>
      </c>
      <c r="G38" s="349" t="s">
        <v>601</v>
      </c>
      <c r="H38" s="349" t="s">
        <v>633</v>
      </c>
      <c r="I38" s="299"/>
      <c r="J38" s="299"/>
      <c r="K38" s="523"/>
    </row>
    <row r="39" spans="2:11" ht="27" customHeight="1">
      <c r="B39" s="540"/>
      <c r="C39" s="534"/>
      <c r="D39" s="534"/>
      <c r="E39" s="534"/>
      <c r="F39" s="299">
        <v>3</v>
      </c>
      <c r="G39" s="349" t="s">
        <v>632</v>
      </c>
      <c r="H39" s="349" t="s">
        <v>634</v>
      </c>
      <c r="I39" s="299"/>
      <c r="J39" s="299"/>
      <c r="K39" s="523"/>
    </row>
    <row r="40" spans="2:11" ht="27" customHeight="1">
      <c r="B40" s="540"/>
      <c r="C40" s="534"/>
      <c r="D40" s="534"/>
      <c r="E40" s="534"/>
      <c r="F40" s="299">
        <v>4</v>
      </c>
      <c r="G40" s="296" t="s">
        <v>395</v>
      </c>
      <c r="H40" s="296" t="s">
        <v>282</v>
      </c>
      <c r="I40" s="299"/>
      <c r="J40" s="299"/>
      <c r="K40" s="523"/>
    </row>
    <row r="41" spans="2:11" ht="27" customHeight="1">
      <c r="B41" s="540"/>
      <c r="C41" s="534"/>
      <c r="D41" s="534"/>
      <c r="E41" s="534"/>
      <c r="F41" s="299">
        <v>5</v>
      </c>
      <c r="G41" s="296" t="s">
        <v>480</v>
      </c>
      <c r="H41" s="296" t="s">
        <v>510</v>
      </c>
      <c r="I41" s="299"/>
      <c r="J41" s="299"/>
      <c r="K41" s="523"/>
    </row>
    <row r="42" spans="2:11" ht="27" customHeight="1">
      <c r="B42" s="540"/>
      <c r="C42" s="534"/>
      <c r="D42" s="534"/>
      <c r="E42" s="534"/>
      <c r="F42" s="299">
        <v>6</v>
      </c>
      <c r="G42" s="350" t="s">
        <v>569</v>
      </c>
      <c r="H42" s="351" t="s">
        <v>571</v>
      </c>
      <c r="I42" s="299"/>
      <c r="J42" s="299"/>
      <c r="K42" s="523"/>
    </row>
    <row r="43" spans="2:11" ht="27" customHeight="1" thickBot="1">
      <c r="B43" s="541"/>
      <c r="C43" s="535"/>
      <c r="D43" s="535"/>
      <c r="E43" s="535"/>
      <c r="F43" s="301">
        <v>7</v>
      </c>
      <c r="G43" s="297" t="s">
        <v>472</v>
      </c>
      <c r="H43" s="297" t="s">
        <v>502</v>
      </c>
      <c r="I43" s="301"/>
      <c r="J43" s="301"/>
      <c r="K43" s="524"/>
    </row>
    <row r="44" spans="2:11" ht="27" customHeight="1">
      <c r="B44" s="539">
        <v>20202</v>
      </c>
      <c r="C44" s="533">
        <v>20202</v>
      </c>
      <c r="D44" s="533" t="s">
        <v>712</v>
      </c>
      <c r="E44" s="533" t="s">
        <v>711</v>
      </c>
      <c r="F44" s="303">
        <v>0</v>
      </c>
      <c r="G44" s="323" t="s">
        <v>469</v>
      </c>
      <c r="H44" s="324" t="s">
        <v>497</v>
      </c>
      <c r="I44" s="352"/>
      <c r="J44" s="352"/>
      <c r="K44" s="544"/>
    </row>
    <row r="45" spans="2:11" ht="27" customHeight="1">
      <c r="B45" s="540"/>
      <c r="C45" s="534"/>
      <c r="D45" s="534"/>
      <c r="E45" s="534"/>
      <c r="F45" s="299">
        <v>1</v>
      </c>
      <c r="G45" s="350" t="s">
        <v>660</v>
      </c>
      <c r="H45" s="353" t="s">
        <v>687</v>
      </c>
      <c r="I45" s="330"/>
      <c r="J45" s="330"/>
      <c r="K45" s="545"/>
    </row>
    <row r="46" spans="2:11" ht="27" customHeight="1">
      <c r="B46" s="540"/>
      <c r="C46" s="534"/>
      <c r="D46" s="534"/>
      <c r="E46" s="534"/>
      <c r="F46" s="299">
        <v>2</v>
      </c>
      <c r="G46" s="350" t="s">
        <v>661</v>
      </c>
      <c r="H46" s="354" t="s">
        <v>241</v>
      </c>
      <c r="I46" s="330"/>
      <c r="J46" s="330"/>
      <c r="K46" s="545"/>
    </row>
    <row r="47" spans="2:11" ht="27" customHeight="1">
      <c r="B47" s="540"/>
      <c r="C47" s="534"/>
      <c r="D47" s="534"/>
      <c r="E47" s="534"/>
      <c r="F47" s="299">
        <v>3</v>
      </c>
      <c r="G47" s="350" t="s">
        <v>714</v>
      </c>
      <c r="H47" s="354" t="s">
        <v>715</v>
      </c>
      <c r="I47" s="330" t="s">
        <v>716</v>
      </c>
      <c r="J47" s="380" t="s">
        <v>716</v>
      </c>
      <c r="K47" s="545"/>
    </row>
    <row r="48" spans="2:11" ht="27" customHeight="1">
      <c r="B48" s="540"/>
      <c r="C48" s="534"/>
      <c r="D48" s="534"/>
      <c r="E48" s="534"/>
      <c r="F48" s="299">
        <v>4</v>
      </c>
      <c r="G48" s="349" t="s">
        <v>601</v>
      </c>
      <c r="H48" s="349" t="s">
        <v>633</v>
      </c>
      <c r="I48" s="330"/>
      <c r="J48" s="380"/>
      <c r="K48" s="545"/>
    </row>
    <row r="49" spans="2:11" ht="27" customHeight="1">
      <c r="B49" s="540"/>
      <c r="C49" s="534"/>
      <c r="D49" s="534"/>
      <c r="E49" s="534"/>
      <c r="F49" s="299">
        <v>5</v>
      </c>
      <c r="G49" s="350" t="s">
        <v>665</v>
      </c>
      <c r="H49" s="354" t="s">
        <v>666</v>
      </c>
      <c r="I49" s="330"/>
      <c r="J49" s="330"/>
      <c r="K49" s="545"/>
    </row>
    <row r="50" spans="2:11" ht="27" customHeight="1">
      <c r="B50" s="540"/>
      <c r="C50" s="534"/>
      <c r="D50" s="534"/>
      <c r="E50" s="534"/>
      <c r="F50" s="299">
        <v>6</v>
      </c>
      <c r="G50" s="350" t="s">
        <v>569</v>
      </c>
      <c r="H50" s="351" t="s">
        <v>571</v>
      </c>
      <c r="I50" s="299"/>
      <c r="J50" s="299"/>
      <c r="K50" s="545"/>
    </row>
    <row r="51" spans="2:11" ht="27" customHeight="1" thickBot="1">
      <c r="B51" s="541"/>
      <c r="C51" s="535"/>
      <c r="D51" s="535"/>
      <c r="E51" s="535"/>
      <c r="F51" s="301">
        <v>7</v>
      </c>
      <c r="G51" s="355" t="s">
        <v>472</v>
      </c>
      <c r="H51" s="297" t="s">
        <v>312</v>
      </c>
      <c r="I51" s="356"/>
      <c r="J51" s="356"/>
      <c r="K51" s="546"/>
    </row>
    <row r="52" spans="2:11" ht="27" customHeight="1">
      <c r="B52" s="539">
        <v>20203</v>
      </c>
      <c r="C52" s="533">
        <v>20203</v>
      </c>
      <c r="D52" s="533" t="s">
        <v>664</v>
      </c>
      <c r="E52" s="533" t="s">
        <v>713</v>
      </c>
      <c r="F52" s="303">
        <v>0</v>
      </c>
      <c r="G52" s="323" t="s">
        <v>469</v>
      </c>
      <c r="H52" s="324" t="s">
        <v>497</v>
      </c>
      <c r="I52" s="352"/>
      <c r="J52" s="352"/>
      <c r="K52" s="544"/>
    </row>
    <row r="53" spans="2:11" ht="27" customHeight="1">
      <c r="B53" s="540"/>
      <c r="C53" s="534"/>
      <c r="D53" s="534"/>
      <c r="E53" s="534"/>
      <c r="F53" s="299">
        <v>1</v>
      </c>
      <c r="G53" s="350" t="s">
        <v>660</v>
      </c>
      <c r="H53" s="353" t="s">
        <v>717</v>
      </c>
      <c r="I53" s="330"/>
      <c r="J53" s="330"/>
      <c r="K53" s="545"/>
    </row>
    <row r="54" spans="2:11" ht="27" customHeight="1">
      <c r="B54" s="540"/>
      <c r="C54" s="534"/>
      <c r="D54" s="534"/>
      <c r="E54" s="534"/>
      <c r="F54" s="299">
        <v>2</v>
      </c>
      <c r="G54" s="350" t="s">
        <v>661</v>
      </c>
      <c r="H54" s="354" t="s">
        <v>241</v>
      </c>
      <c r="I54" s="330"/>
      <c r="J54" s="330"/>
      <c r="K54" s="545"/>
    </row>
    <row r="55" spans="2:11" ht="27" customHeight="1">
      <c r="B55" s="540"/>
      <c r="C55" s="534"/>
      <c r="D55" s="534"/>
      <c r="E55" s="534"/>
      <c r="F55" s="299">
        <v>3</v>
      </c>
      <c r="G55" s="350" t="s">
        <v>667</v>
      </c>
      <c r="H55" s="354" t="s">
        <v>666</v>
      </c>
      <c r="I55" s="330" t="s">
        <v>716</v>
      </c>
      <c r="J55" s="380" t="s">
        <v>716</v>
      </c>
      <c r="K55" s="545"/>
    </row>
    <row r="56" spans="2:11">
      <c r="B56" s="540"/>
      <c r="C56" s="534"/>
      <c r="D56" s="534"/>
      <c r="E56" s="534"/>
      <c r="F56" s="299">
        <v>4</v>
      </c>
      <c r="G56" s="350" t="s">
        <v>569</v>
      </c>
      <c r="H56" s="351" t="s">
        <v>571</v>
      </c>
      <c r="I56" s="299"/>
      <c r="J56" s="299"/>
      <c r="K56" s="545"/>
    </row>
    <row r="57" spans="2:11" ht="27" customHeight="1" thickBot="1">
      <c r="B57" s="541"/>
      <c r="C57" s="535"/>
      <c r="D57" s="535"/>
      <c r="E57" s="535"/>
      <c r="F57" s="301">
        <v>5</v>
      </c>
      <c r="G57" s="355" t="s">
        <v>472</v>
      </c>
      <c r="H57" s="297" t="s">
        <v>312</v>
      </c>
      <c r="I57" s="356"/>
      <c r="J57" s="356"/>
      <c r="K57" s="546"/>
    </row>
    <row r="58" spans="2:11" ht="27" customHeight="1">
      <c r="B58" s="539">
        <v>20301</v>
      </c>
      <c r="C58" s="533">
        <v>20301</v>
      </c>
      <c r="D58" s="533" t="s">
        <v>650</v>
      </c>
      <c r="E58" s="533" t="s">
        <v>651</v>
      </c>
      <c r="F58" s="303">
        <v>0</v>
      </c>
      <c r="G58" s="323" t="s">
        <v>469</v>
      </c>
      <c r="H58" s="324" t="s">
        <v>497</v>
      </c>
      <c r="I58" s="352"/>
      <c r="J58" s="352"/>
      <c r="K58" s="558"/>
    </row>
    <row r="59" spans="2:11" ht="27" customHeight="1">
      <c r="B59" s="540"/>
      <c r="C59" s="534"/>
      <c r="D59" s="534"/>
      <c r="E59" s="534"/>
      <c r="F59" s="299">
        <v>1</v>
      </c>
      <c r="G59" s="350" t="s">
        <v>660</v>
      </c>
      <c r="H59" s="353" t="s">
        <v>687</v>
      </c>
      <c r="I59" s="330"/>
      <c r="J59" s="330"/>
      <c r="K59" s="559"/>
    </row>
    <row r="60" spans="2:11" ht="27" customHeight="1">
      <c r="B60" s="540"/>
      <c r="C60" s="534"/>
      <c r="D60" s="534"/>
      <c r="E60" s="534"/>
      <c r="F60" s="299">
        <v>2</v>
      </c>
      <c r="G60" s="350" t="s">
        <v>661</v>
      </c>
      <c r="H60" s="354" t="s">
        <v>241</v>
      </c>
      <c r="I60" s="330"/>
      <c r="J60" s="330"/>
      <c r="K60" s="559"/>
    </row>
    <row r="61" spans="2:11" ht="27" customHeight="1">
      <c r="B61" s="540"/>
      <c r="C61" s="534"/>
      <c r="D61" s="534"/>
      <c r="E61" s="534"/>
      <c r="F61" s="299">
        <v>3</v>
      </c>
      <c r="G61" s="350" t="s">
        <v>662</v>
      </c>
      <c r="H61" s="351" t="s">
        <v>663</v>
      </c>
      <c r="I61" s="330"/>
      <c r="J61" s="330"/>
      <c r="K61" s="559"/>
    </row>
    <row r="62" spans="2:11" ht="27" customHeight="1">
      <c r="B62" s="540"/>
      <c r="C62" s="534"/>
      <c r="D62" s="534"/>
      <c r="E62" s="534"/>
      <c r="F62" s="299">
        <v>4</v>
      </c>
      <c r="G62" s="350" t="s">
        <v>665</v>
      </c>
      <c r="H62" s="351" t="s">
        <v>666</v>
      </c>
      <c r="I62" s="330" t="s">
        <v>716</v>
      </c>
      <c r="J62" s="380" t="s">
        <v>716</v>
      </c>
      <c r="K62" s="559"/>
    </row>
    <row r="63" spans="2:11" ht="27" customHeight="1">
      <c r="B63" s="540"/>
      <c r="C63" s="534"/>
      <c r="D63" s="534"/>
      <c r="E63" s="534"/>
      <c r="F63" s="299">
        <v>5</v>
      </c>
      <c r="G63" s="350" t="s">
        <v>569</v>
      </c>
      <c r="H63" s="351" t="s">
        <v>571</v>
      </c>
      <c r="I63" s="299"/>
      <c r="J63" s="299"/>
      <c r="K63" s="559"/>
    </row>
    <row r="64" spans="2:11" ht="27" customHeight="1" thickBot="1">
      <c r="B64" s="541"/>
      <c r="C64" s="535"/>
      <c r="D64" s="535"/>
      <c r="E64" s="535"/>
      <c r="F64" s="301">
        <v>6</v>
      </c>
      <c r="G64" s="355" t="s">
        <v>472</v>
      </c>
      <c r="H64" s="297" t="s">
        <v>312</v>
      </c>
      <c r="I64" s="356"/>
      <c r="J64" s="356"/>
      <c r="K64" s="560"/>
    </row>
    <row r="65" spans="2:11" ht="27" customHeight="1">
      <c r="B65" s="539">
        <v>20302</v>
      </c>
      <c r="C65" s="534">
        <v>20302</v>
      </c>
      <c r="D65" s="533" t="s">
        <v>668</v>
      </c>
      <c r="E65" s="533" t="s">
        <v>669</v>
      </c>
      <c r="F65" s="303">
        <v>0</v>
      </c>
      <c r="G65" s="296" t="s">
        <v>469</v>
      </c>
      <c r="H65" s="304" t="s">
        <v>499</v>
      </c>
      <c r="I65" s="303"/>
      <c r="J65" s="303"/>
      <c r="K65" s="522"/>
    </row>
    <row r="66" spans="2:11" ht="27" customHeight="1">
      <c r="B66" s="540"/>
      <c r="C66" s="534"/>
      <c r="D66" s="534"/>
      <c r="E66" s="534"/>
      <c r="F66" s="299">
        <v>1</v>
      </c>
      <c r="G66" s="349" t="s">
        <v>660</v>
      </c>
      <c r="H66" s="353" t="s">
        <v>687</v>
      </c>
      <c r="I66" s="299"/>
      <c r="J66" s="299"/>
      <c r="K66" s="523"/>
    </row>
    <row r="67" spans="2:11" ht="27" customHeight="1">
      <c r="B67" s="540"/>
      <c r="C67" s="534"/>
      <c r="D67" s="534"/>
      <c r="E67" s="534"/>
      <c r="F67" s="299">
        <v>2</v>
      </c>
      <c r="G67" s="350" t="s">
        <v>567</v>
      </c>
      <c r="H67" s="353" t="s">
        <v>572</v>
      </c>
      <c r="I67" s="299"/>
      <c r="J67" s="299"/>
      <c r="K67" s="523"/>
    </row>
    <row r="68" spans="2:11" ht="27" customHeight="1">
      <c r="B68" s="540"/>
      <c r="C68" s="534"/>
      <c r="D68" s="534"/>
      <c r="E68" s="534"/>
      <c r="F68" s="299">
        <v>3</v>
      </c>
      <c r="G68" s="349" t="s">
        <v>601</v>
      </c>
      <c r="H68" s="349" t="s">
        <v>633</v>
      </c>
      <c r="I68" s="299"/>
      <c r="J68" s="299"/>
      <c r="K68" s="523"/>
    </row>
    <row r="69" spans="2:11" ht="27" customHeight="1">
      <c r="B69" s="540"/>
      <c r="C69" s="534"/>
      <c r="D69" s="534"/>
      <c r="E69" s="534"/>
      <c r="F69" s="299">
        <v>4</v>
      </c>
      <c r="G69" s="349" t="s">
        <v>632</v>
      </c>
      <c r="H69" s="349" t="s">
        <v>634</v>
      </c>
      <c r="I69" s="299"/>
      <c r="J69" s="299"/>
      <c r="K69" s="523"/>
    </row>
    <row r="70" spans="2:11" ht="27" customHeight="1">
      <c r="B70" s="540"/>
      <c r="C70" s="534"/>
      <c r="D70" s="534"/>
      <c r="E70" s="534"/>
      <c r="F70" s="299">
        <v>5</v>
      </c>
      <c r="G70" s="296" t="s">
        <v>670</v>
      </c>
      <c r="H70" s="296" t="s">
        <v>241</v>
      </c>
      <c r="I70" s="299"/>
      <c r="J70" s="299"/>
      <c r="K70" s="523"/>
    </row>
    <row r="71" spans="2:11" ht="27" customHeight="1">
      <c r="B71" s="540"/>
      <c r="C71" s="534"/>
      <c r="D71" s="534"/>
      <c r="E71" s="534"/>
      <c r="F71" s="299">
        <v>6</v>
      </c>
      <c r="G71" s="296" t="s">
        <v>671</v>
      </c>
      <c r="H71" s="296" t="s">
        <v>249</v>
      </c>
      <c r="I71" s="299"/>
      <c r="J71" s="299"/>
      <c r="K71" s="523"/>
    </row>
    <row r="72" spans="2:11" ht="27" customHeight="1">
      <c r="B72" s="540"/>
      <c r="C72" s="534"/>
      <c r="D72" s="534"/>
      <c r="E72" s="534"/>
      <c r="F72" s="299">
        <v>7</v>
      </c>
      <c r="G72" s="296" t="s">
        <v>662</v>
      </c>
      <c r="H72" s="296" t="s">
        <v>251</v>
      </c>
      <c r="I72" s="299"/>
      <c r="J72" s="299"/>
      <c r="K72" s="523"/>
    </row>
    <row r="73" spans="2:11" ht="27" customHeight="1">
      <c r="B73" s="540"/>
      <c r="C73" s="534"/>
      <c r="D73" s="534"/>
      <c r="E73" s="534"/>
      <c r="F73" s="299">
        <v>8</v>
      </c>
      <c r="G73" s="296" t="s">
        <v>395</v>
      </c>
      <c r="H73" s="296" t="s">
        <v>282</v>
      </c>
      <c r="I73" s="299"/>
      <c r="J73" s="299"/>
      <c r="K73" s="523"/>
    </row>
    <row r="74" spans="2:11" ht="27" customHeight="1">
      <c r="B74" s="540"/>
      <c r="C74" s="534"/>
      <c r="D74" s="534"/>
      <c r="E74" s="534"/>
      <c r="F74" s="299">
        <v>9</v>
      </c>
      <c r="G74" s="350" t="s">
        <v>569</v>
      </c>
      <c r="H74" s="351" t="s">
        <v>571</v>
      </c>
      <c r="I74" s="299"/>
      <c r="J74" s="299"/>
      <c r="K74" s="523"/>
    </row>
    <row r="75" spans="2:11" ht="27" customHeight="1" thickBot="1">
      <c r="B75" s="541"/>
      <c r="C75" s="535"/>
      <c r="D75" s="535"/>
      <c r="E75" s="535"/>
      <c r="F75" s="301">
        <v>10</v>
      </c>
      <c r="G75" s="297" t="s">
        <v>472</v>
      </c>
      <c r="H75" s="297" t="s">
        <v>312</v>
      </c>
      <c r="I75" s="301"/>
      <c r="J75" s="301"/>
      <c r="K75" s="524"/>
    </row>
    <row r="76" spans="2:11" ht="27" customHeight="1">
      <c r="B76" s="550">
        <v>20303</v>
      </c>
      <c r="C76" s="536">
        <v>20303</v>
      </c>
      <c r="D76" s="533" t="s">
        <v>672</v>
      </c>
      <c r="E76" s="533" t="s">
        <v>673</v>
      </c>
      <c r="F76" s="303">
        <v>0</v>
      </c>
      <c r="G76" s="323" t="s">
        <v>469</v>
      </c>
      <c r="H76" s="324" t="s">
        <v>582</v>
      </c>
      <c r="I76" s="323"/>
      <c r="J76" s="323"/>
      <c r="K76" s="522"/>
    </row>
    <row r="77" spans="2:11" ht="27" customHeight="1">
      <c r="B77" s="551"/>
      <c r="C77" s="537"/>
      <c r="D77" s="534"/>
      <c r="E77" s="534"/>
      <c r="F77" s="299">
        <v>1</v>
      </c>
      <c r="G77" s="349" t="s">
        <v>660</v>
      </c>
      <c r="H77" s="353" t="s">
        <v>687</v>
      </c>
      <c r="I77" s="296"/>
      <c r="J77" s="296"/>
      <c r="K77" s="542"/>
    </row>
    <row r="78" spans="2:11" ht="27" customHeight="1">
      <c r="B78" s="551"/>
      <c r="C78" s="537"/>
      <c r="D78" s="534"/>
      <c r="E78" s="534"/>
      <c r="F78" s="299">
        <v>2</v>
      </c>
      <c r="G78" s="296" t="s">
        <v>396</v>
      </c>
      <c r="H78" s="296" t="s">
        <v>686</v>
      </c>
      <c r="I78" s="296"/>
      <c r="J78" s="296"/>
      <c r="K78" s="542"/>
    </row>
    <row r="79" spans="2:11" ht="27" customHeight="1">
      <c r="B79" s="551"/>
      <c r="C79" s="537"/>
      <c r="D79" s="534"/>
      <c r="E79" s="534"/>
      <c r="F79" s="299">
        <v>3</v>
      </c>
      <c r="G79" s="349" t="s">
        <v>601</v>
      </c>
      <c r="H79" s="349" t="s">
        <v>633</v>
      </c>
      <c r="I79" s="299"/>
      <c r="J79" s="299"/>
      <c r="K79" s="542"/>
    </row>
    <row r="80" spans="2:11" ht="27" customHeight="1">
      <c r="B80" s="551"/>
      <c r="C80" s="537"/>
      <c r="D80" s="534"/>
      <c r="E80" s="534"/>
      <c r="F80" s="299">
        <v>4</v>
      </c>
      <c r="G80" s="349" t="s">
        <v>632</v>
      </c>
      <c r="H80" s="349" t="s">
        <v>634</v>
      </c>
      <c r="I80" s="299"/>
      <c r="J80" s="299"/>
      <c r="K80" s="542"/>
    </row>
    <row r="81" spans="2:11" ht="27" customHeight="1">
      <c r="B81" s="551"/>
      <c r="C81" s="537"/>
      <c r="D81" s="534"/>
      <c r="E81" s="534"/>
      <c r="F81" s="299">
        <v>5</v>
      </c>
      <c r="G81" s="395" t="s">
        <v>724</v>
      </c>
      <c r="H81" s="395" t="s">
        <v>725</v>
      </c>
      <c r="I81" s="396"/>
      <c r="J81" s="396"/>
      <c r="K81" s="542"/>
    </row>
    <row r="82" spans="2:11" ht="27" customHeight="1">
      <c r="B82" s="551"/>
      <c r="C82" s="537"/>
      <c r="D82" s="534"/>
      <c r="E82" s="534"/>
      <c r="F82" s="299">
        <v>6</v>
      </c>
      <c r="G82" s="349" t="s">
        <v>658</v>
      </c>
      <c r="H82" s="349" t="s">
        <v>251</v>
      </c>
      <c r="I82" s="299"/>
      <c r="J82" s="299"/>
      <c r="K82" s="542"/>
    </row>
    <row r="83" spans="2:11" ht="27" customHeight="1">
      <c r="B83" s="551"/>
      <c r="C83" s="537"/>
      <c r="D83" s="534"/>
      <c r="E83" s="534"/>
      <c r="F83" s="299">
        <v>7</v>
      </c>
      <c r="G83" s="296" t="s">
        <v>395</v>
      </c>
      <c r="H83" s="296" t="s">
        <v>282</v>
      </c>
      <c r="I83" s="296"/>
      <c r="J83" s="296"/>
      <c r="K83" s="542"/>
    </row>
    <row r="84" spans="2:11" ht="27" customHeight="1">
      <c r="B84" s="551"/>
      <c r="C84" s="537"/>
      <c r="D84" s="534"/>
      <c r="E84" s="534"/>
      <c r="F84" s="299">
        <v>8</v>
      </c>
      <c r="G84" s="296" t="s">
        <v>480</v>
      </c>
      <c r="H84" s="296" t="s">
        <v>583</v>
      </c>
      <c r="I84" s="296"/>
      <c r="J84" s="296"/>
      <c r="K84" s="542"/>
    </row>
    <row r="85" spans="2:11" ht="27" customHeight="1">
      <c r="B85" s="551"/>
      <c r="C85" s="537"/>
      <c r="D85" s="534"/>
      <c r="E85" s="534"/>
      <c r="F85" s="299">
        <v>9</v>
      </c>
      <c r="G85" s="296" t="s">
        <v>718</v>
      </c>
      <c r="H85" s="296" t="s">
        <v>584</v>
      </c>
      <c r="I85" s="296"/>
      <c r="J85" s="296"/>
      <c r="K85" s="542"/>
    </row>
    <row r="86" spans="2:11" ht="27" customHeight="1">
      <c r="B86" s="551"/>
      <c r="C86" s="537"/>
      <c r="D86" s="534"/>
      <c r="E86" s="534"/>
      <c r="F86" s="299">
        <v>10</v>
      </c>
      <c r="G86" s="296" t="s">
        <v>719</v>
      </c>
      <c r="H86" s="296" t="s">
        <v>585</v>
      </c>
      <c r="I86" s="296"/>
      <c r="J86" s="296"/>
      <c r="K86" s="542"/>
    </row>
    <row r="87" spans="2:11" ht="27" customHeight="1">
      <c r="B87" s="551"/>
      <c r="C87" s="537"/>
      <c r="D87" s="534"/>
      <c r="E87" s="534"/>
      <c r="F87" s="299">
        <v>11</v>
      </c>
      <c r="G87" s="296" t="s">
        <v>720</v>
      </c>
      <c r="H87" s="296" t="s">
        <v>586</v>
      </c>
      <c r="I87" s="296"/>
      <c r="J87" s="296"/>
      <c r="K87" s="542"/>
    </row>
    <row r="88" spans="2:11" ht="27" customHeight="1">
      <c r="B88" s="551"/>
      <c r="C88" s="537"/>
      <c r="D88" s="534"/>
      <c r="E88" s="534"/>
      <c r="F88" s="299">
        <v>12</v>
      </c>
      <c r="G88" s="296" t="s">
        <v>568</v>
      </c>
      <c r="H88" s="296" t="s">
        <v>570</v>
      </c>
      <c r="I88" s="296"/>
      <c r="J88" s="296"/>
      <c r="K88" s="542"/>
    </row>
    <row r="89" spans="2:11" ht="27" customHeight="1" thickBot="1">
      <c r="B89" s="551"/>
      <c r="C89" s="538"/>
      <c r="D89" s="534"/>
      <c r="E89" s="534"/>
      <c r="F89" s="301">
        <v>13</v>
      </c>
      <c r="G89" s="297" t="s">
        <v>472</v>
      </c>
      <c r="H89" s="297" t="s">
        <v>581</v>
      </c>
      <c r="I89" s="296"/>
      <c r="J89" s="296"/>
      <c r="K89" s="543"/>
    </row>
    <row r="90" spans="2:11" ht="27" customHeight="1">
      <c r="B90" s="539">
        <v>20310</v>
      </c>
      <c r="C90" s="534">
        <v>20310</v>
      </c>
      <c r="D90" s="533" t="s">
        <v>653</v>
      </c>
      <c r="E90" s="533" t="s">
        <v>654</v>
      </c>
      <c r="F90" s="303">
        <v>0</v>
      </c>
      <c r="G90" s="323" t="s">
        <v>469</v>
      </c>
      <c r="H90" s="324" t="s">
        <v>497</v>
      </c>
      <c r="I90" s="352"/>
      <c r="J90" s="352"/>
      <c r="K90" s="544"/>
    </row>
    <row r="91" spans="2:11" ht="27" customHeight="1">
      <c r="B91" s="540"/>
      <c r="C91" s="534"/>
      <c r="D91" s="534"/>
      <c r="E91" s="534"/>
      <c r="F91" s="299">
        <v>1</v>
      </c>
      <c r="G91" s="349" t="s">
        <v>660</v>
      </c>
      <c r="H91" s="353" t="s">
        <v>687</v>
      </c>
      <c r="I91" s="379"/>
      <c r="J91" s="379"/>
      <c r="K91" s="545"/>
    </row>
    <row r="92" spans="2:11" ht="27" customHeight="1">
      <c r="B92" s="540"/>
      <c r="C92" s="534"/>
      <c r="D92" s="534"/>
      <c r="E92" s="534"/>
      <c r="F92" s="299">
        <v>2</v>
      </c>
      <c r="G92" s="296" t="s">
        <v>396</v>
      </c>
      <c r="H92" s="296" t="s">
        <v>203</v>
      </c>
      <c r="I92" s="299" t="s">
        <v>716</v>
      </c>
      <c r="J92" s="381" t="s">
        <v>716</v>
      </c>
      <c r="K92" s="545"/>
    </row>
    <row r="93" spans="2:11" ht="27" customHeight="1">
      <c r="B93" s="540"/>
      <c r="C93" s="534"/>
      <c r="D93" s="534"/>
      <c r="E93" s="534"/>
      <c r="F93" s="299">
        <v>3</v>
      </c>
      <c r="G93" s="349" t="s">
        <v>601</v>
      </c>
      <c r="H93" s="349" t="s">
        <v>633</v>
      </c>
      <c r="I93" s="299" t="s">
        <v>716</v>
      </c>
      <c r="J93" s="381" t="s">
        <v>716</v>
      </c>
      <c r="K93" s="545"/>
    </row>
    <row r="94" spans="2:11" ht="27" customHeight="1">
      <c r="B94" s="540"/>
      <c r="C94" s="534"/>
      <c r="D94" s="534"/>
      <c r="E94" s="534"/>
      <c r="F94" s="299">
        <v>4</v>
      </c>
      <c r="G94" s="349" t="s">
        <v>632</v>
      </c>
      <c r="H94" s="349" t="s">
        <v>634</v>
      </c>
      <c r="I94" s="299" t="s">
        <v>716</v>
      </c>
      <c r="J94" s="381" t="s">
        <v>716</v>
      </c>
      <c r="K94" s="545"/>
    </row>
    <row r="95" spans="2:11" ht="27" customHeight="1">
      <c r="B95" s="540"/>
      <c r="C95" s="534"/>
      <c r="D95" s="534"/>
      <c r="E95" s="534"/>
      <c r="F95" s="299">
        <v>5</v>
      </c>
      <c r="G95" s="350" t="s">
        <v>656</v>
      </c>
      <c r="H95" s="378" t="s">
        <v>241</v>
      </c>
      <c r="I95" s="330"/>
      <c r="J95" s="330"/>
      <c r="K95" s="545"/>
    </row>
    <row r="96" spans="2:11" ht="27" customHeight="1">
      <c r="B96" s="540"/>
      <c r="C96" s="534"/>
      <c r="D96" s="534"/>
      <c r="E96" s="534"/>
      <c r="F96" s="299">
        <v>6</v>
      </c>
      <c r="G96" s="350" t="s">
        <v>657</v>
      </c>
      <c r="H96" s="353" t="s">
        <v>249</v>
      </c>
      <c r="I96" s="330"/>
      <c r="J96" s="330"/>
      <c r="K96" s="545"/>
    </row>
    <row r="97" spans="2:11" ht="27" customHeight="1">
      <c r="B97" s="540"/>
      <c r="C97" s="534"/>
      <c r="D97" s="534"/>
      <c r="E97" s="534"/>
      <c r="F97" s="299">
        <v>7</v>
      </c>
      <c r="G97" s="350" t="s">
        <v>658</v>
      </c>
      <c r="H97" s="354" t="s">
        <v>659</v>
      </c>
      <c r="I97" s="330"/>
      <c r="J97" s="330"/>
      <c r="K97" s="545"/>
    </row>
    <row r="98" spans="2:11" ht="27" customHeight="1" thickBot="1">
      <c r="B98" s="541"/>
      <c r="C98" s="535"/>
      <c r="D98" s="535"/>
      <c r="E98" s="535"/>
      <c r="F98" s="301">
        <v>8</v>
      </c>
      <c r="G98" s="355" t="s">
        <v>472</v>
      </c>
      <c r="H98" s="297" t="s">
        <v>312</v>
      </c>
      <c r="I98" s="356"/>
      <c r="J98" s="356"/>
      <c r="K98" s="546"/>
    </row>
    <row r="99" spans="2:11" ht="27" customHeight="1">
      <c r="B99" s="539">
        <v>20311</v>
      </c>
      <c r="C99" s="533">
        <v>20311</v>
      </c>
      <c r="D99" s="533" t="s">
        <v>652</v>
      </c>
      <c r="E99" s="533" t="s">
        <v>655</v>
      </c>
      <c r="F99" s="303">
        <v>0</v>
      </c>
      <c r="G99" s="323" t="s">
        <v>469</v>
      </c>
      <c r="H99" s="324" t="s">
        <v>497</v>
      </c>
      <c r="I99" s="352"/>
      <c r="J99" s="352"/>
      <c r="K99" s="544"/>
    </row>
    <row r="100" spans="2:11" ht="27" customHeight="1">
      <c r="B100" s="540"/>
      <c r="C100" s="534"/>
      <c r="D100" s="534"/>
      <c r="E100" s="534"/>
      <c r="F100" s="299">
        <v>1</v>
      </c>
      <c r="G100" s="349" t="s">
        <v>660</v>
      </c>
      <c r="H100" s="353" t="s">
        <v>687</v>
      </c>
      <c r="I100" s="379"/>
      <c r="J100" s="379"/>
      <c r="K100" s="545"/>
    </row>
    <row r="101" spans="2:11" ht="27" customHeight="1">
      <c r="B101" s="540"/>
      <c r="C101" s="534"/>
      <c r="D101" s="534"/>
      <c r="E101" s="534"/>
      <c r="F101" s="299">
        <v>2</v>
      </c>
      <c r="G101" s="296" t="s">
        <v>396</v>
      </c>
      <c r="H101" s="296" t="s">
        <v>203</v>
      </c>
      <c r="I101" s="296"/>
      <c r="J101" s="296"/>
      <c r="K101" s="545"/>
    </row>
    <row r="102" spans="2:11" ht="27" customHeight="1">
      <c r="B102" s="540"/>
      <c r="C102" s="534"/>
      <c r="D102" s="534"/>
      <c r="E102" s="534"/>
      <c r="F102" s="299">
        <v>3</v>
      </c>
      <c r="G102" s="349" t="s">
        <v>601</v>
      </c>
      <c r="H102" s="349" t="s">
        <v>633</v>
      </c>
      <c r="I102" s="299"/>
      <c r="J102" s="299"/>
      <c r="K102" s="545"/>
    </row>
    <row r="103" spans="2:11" ht="27" customHeight="1">
      <c r="B103" s="540"/>
      <c r="C103" s="534"/>
      <c r="D103" s="534"/>
      <c r="E103" s="534"/>
      <c r="F103" s="299">
        <v>4</v>
      </c>
      <c r="G103" s="349" t="s">
        <v>632</v>
      </c>
      <c r="H103" s="349" t="s">
        <v>634</v>
      </c>
      <c r="I103" s="299"/>
      <c r="J103" s="299"/>
      <c r="K103" s="545"/>
    </row>
    <row r="104" spans="2:11" ht="27" customHeight="1">
      <c r="B104" s="540"/>
      <c r="C104" s="534"/>
      <c r="D104" s="534"/>
      <c r="E104" s="534"/>
      <c r="F104" s="299">
        <v>5</v>
      </c>
      <c r="G104" s="350" t="s">
        <v>656</v>
      </c>
      <c r="H104" s="378" t="s">
        <v>241</v>
      </c>
      <c r="I104" s="330"/>
      <c r="J104" s="380"/>
      <c r="K104" s="545"/>
    </row>
    <row r="105" spans="2:11" ht="27" customHeight="1">
      <c r="B105" s="540"/>
      <c r="C105" s="534"/>
      <c r="D105" s="534"/>
      <c r="E105" s="534"/>
      <c r="F105" s="299">
        <v>6</v>
      </c>
      <c r="G105" s="350" t="s">
        <v>657</v>
      </c>
      <c r="H105" s="353" t="s">
        <v>249</v>
      </c>
      <c r="I105" s="330"/>
      <c r="J105" s="330"/>
      <c r="K105" s="545"/>
    </row>
    <row r="106" spans="2:11" ht="27" customHeight="1">
      <c r="B106" s="540"/>
      <c r="C106" s="534"/>
      <c r="D106" s="534"/>
      <c r="E106" s="534"/>
      <c r="F106" s="299">
        <v>7</v>
      </c>
      <c r="G106" s="350" t="s">
        <v>658</v>
      </c>
      <c r="H106" s="354" t="s">
        <v>659</v>
      </c>
      <c r="I106" s="330"/>
      <c r="J106" s="330"/>
      <c r="K106" s="545"/>
    </row>
    <row r="107" spans="2:11" ht="27" customHeight="1" thickBot="1">
      <c r="B107" s="541"/>
      <c r="C107" s="535"/>
      <c r="D107" s="535"/>
      <c r="E107" s="535"/>
      <c r="F107" s="301">
        <v>8</v>
      </c>
      <c r="G107" s="355" t="s">
        <v>472</v>
      </c>
      <c r="H107" s="297" t="s">
        <v>312</v>
      </c>
      <c r="I107" s="356"/>
      <c r="J107" s="356"/>
      <c r="K107" s="546"/>
    </row>
    <row r="108" spans="2:11" ht="27" customHeight="1">
      <c r="B108" s="555">
        <v>20403</v>
      </c>
      <c r="C108" s="547">
        <v>20403</v>
      </c>
      <c r="D108" s="547" t="s">
        <v>493</v>
      </c>
      <c r="E108" s="547" t="s">
        <v>492</v>
      </c>
      <c r="F108" s="363">
        <v>0</v>
      </c>
      <c r="G108" s="360" t="s">
        <v>469</v>
      </c>
      <c r="H108" s="369" t="s">
        <v>497</v>
      </c>
      <c r="I108" s="384"/>
      <c r="J108" s="384"/>
      <c r="K108" s="522"/>
    </row>
    <row r="109" spans="2:11" ht="27" customHeight="1">
      <c r="B109" s="556"/>
      <c r="C109" s="548"/>
      <c r="D109" s="548"/>
      <c r="E109" s="548"/>
      <c r="F109" s="362">
        <v>1</v>
      </c>
      <c r="G109" s="360" t="s">
        <v>535</v>
      </c>
      <c r="H109" s="369" t="s">
        <v>203</v>
      </c>
      <c r="I109" s="366"/>
      <c r="J109" s="366"/>
      <c r="K109" s="523"/>
    </row>
    <row r="110" spans="2:11" ht="27" customHeight="1">
      <c r="B110" s="556"/>
      <c r="C110" s="548"/>
      <c r="D110" s="548"/>
      <c r="E110" s="548"/>
      <c r="F110" s="362">
        <v>2</v>
      </c>
      <c r="G110" s="361" t="s">
        <v>601</v>
      </c>
      <c r="H110" s="361" t="s">
        <v>633</v>
      </c>
      <c r="I110" s="362"/>
      <c r="J110" s="362"/>
      <c r="K110" s="523"/>
    </row>
    <row r="111" spans="2:11" ht="27" customHeight="1">
      <c r="B111" s="556"/>
      <c r="C111" s="548"/>
      <c r="D111" s="548"/>
      <c r="E111" s="548"/>
      <c r="F111" s="362">
        <v>3</v>
      </c>
      <c r="G111" s="361" t="s">
        <v>632</v>
      </c>
      <c r="H111" s="361" t="s">
        <v>634</v>
      </c>
      <c r="I111" s="362"/>
      <c r="J111" s="362"/>
      <c r="K111" s="523"/>
    </row>
    <row r="112" spans="2:11" ht="27" customHeight="1">
      <c r="B112" s="556"/>
      <c r="C112" s="548"/>
      <c r="D112" s="548"/>
      <c r="E112" s="548"/>
      <c r="F112" s="362">
        <v>4</v>
      </c>
      <c r="G112" s="360" t="s">
        <v>610</v>
      </c>
      <c r="H112" s="360" t="s">
        <v>575</v>
      </c>
      <c r="I112" s="362"/>
      <c r="J112" s="362"/>
      <c r="K112" s="523"/>
    </row>
    <row r="113" spans="2:11" ht="27" customHeight="1">
      <c r="B113" s="556"/>
      <c r="C113" s="548"/>
      <c r="D113" s="548"/>
      <c r="E113" s="548"/>
      <c r="F113" s="362">
        <v>5</v>
      </c>
      <c r="G113" s="388" t="s">
        <v>569</v>
      </c>
      <c r="H113" s="394" t="s">
        <v>571</v>
      </c>
      <c r="I113" s="362"/>
      <c r="J113" s="362"/>
      <c r="K113" s="523"/>
    </row>
    <row r="114" spans="2:11" ht="27" customHeight="1" thickBot="1">
      <c r="B114" s="557"/>
      <c r="C114" s="549"/>
      <c r="D114" s="549"/>
      <c r="E114" s="549"/>
      <c r="F114" s="364">
        <v>6</v>
      </c>
      <c r="G114" s="385" t="s">
        <v>472</v>
      </c>
      <c r="H114" s="385" t="s">
        <v>312</v>
      </c>
      <c r="I114" s="370"/>
      <c r="J114" s="370"/>
      <c r="K114" s="524"/>
    </row>
    <row r="115" spans="2:11" ht="27" customHeight="1">
      <c r="B115" s="540">
        <v>20401</v>
      </c>
      <c r="C115" s="534">
        <v>20401</v>
      </c>
      <c r="D115" s="534" t="s">
        <v>674</v>
      </c>
      <c r="E115" s="534" t="s">
        <v>491</v>
      </c>
      <c r="F115" s="303">
        <v>0</v>
      </c>
      <c r="G115" s="298" t="s">
        <v>469</v>
      </c>
      <c r="H115" s="331" t="s">
        <v>497</v>
      </c>
      <c r="I115" s="303"/>
      <c r="J115" s="303"/>
      <c r="K115" s="523"/>
    </row>
    <row r="116" spans="2:11" ht="27" customHeight="1">
      <c r="B116" s="540"/>
      <c r="C116" s="534"/>
      <c r="D116" s="534"/>
      <c r="E116" s="534"/>
      <c r="F116" s="299">
        <v>1</v>
      </c>
      <c r="G116" s="349" t="s">
        <v>660</v>
      </c>
      <c r="H116" s="353" t="s">
        <v>687</v>
      </c>
      <c r="I116" s="299"/>
      <c r="J116" s="299"/>
      <c r="K116" s="523"/>
    </row>
    <row r="117" spans="2:11" ht="27" customHeight="1">
      <c r="B117" s="540"/>
      <c r="C117" s="534"/>
      <c r="D117" s="534"/>
      <c r="E117" s="534"/>
      <c r="F117" s="299">
        <v>2</v>
      </c>
      <c r="G117" s="296" t="s">
        <v>535</v>
      </c>
      <c r="H117" s="296" t="s">
        <v>485</v>
      </c>
      <c r="I117" s="299"/>
      <c r="J117" s="299"/>
      <c r="K117" s="523"/>
    </row>
    <row r="118" spans="2:11" ht="27" customHeight="1">
      <c r="B118" s="540"/>
      <c r="C118" s="534"/>
      <c r="D118" s="534"/>
      <c r="E118" s="534"/>
      <c r="F118" s="299">
        <v>3</v>
      </c>
      <c r="G118" s="349" t="s">
        <v>601</v>
      </c>
      <c r="H118" s="349" t="s">
        <v>633</v>
      </c>
      <c r="I118" s="299"/>
      <c r="J118" s="299"/>
      <c r="K118" s="523"/>
    </row>
    <row r="119" spans="2:11" ht="27" customHeight="1">
      <c r="B119" s="540"/>
      <c r="C119" s="534"/>
      <c r="D119" s="534"/>
      <c r="E119" s="534"/>
      <c r="F119" s="299">
        <v>4</v>
      </c>
      <c r="G119" s="349" t="s">
        <v>632</v>
      </c>
      <c r="H119" s="349" t="s">
        <v>634</v>
      </c>
      <c r="I119" s="299"/>
      <c r="J119" s="299"/>
      <c r="K119" s="523"/>
    </row>
    <row r="120" spans="2:11" ht="27" customHeight="1">
      <c r="B120" s="540"/>
      <c r="C120" s="534"/>
      <c r="D120" s="534"/>
      <c r="E120" s="534"/>
      <c r="F120" s="299">
        <v>5</v>
      </c>
      <c r="G120" s="296" t="s">
        <v>662</v>
      </c>
      <c r="H120" s="296" t="s">
        <v>675</v>
      </c>
      <c r="I120" s="299"/>
      <c r="J120" s="299"/>
      <c r="K120" s="523"/>
    </row>
    <row r="121" spans="2:11" ht="27" customHeight="1">
      <c r="B121" s="540"/>
      <c r="C121" s="534"/>
      <c r="D121" s="534"/>
      <c r="E121" s="534"/>
      <c r="F121" s="299">
        <v>6</v>
      </c>
      <c r="G121" s="349" t="s">
        <v>688</v>
      </c>
      <c r="H121" s="349" t="s">
        <v>694</v>
      </c>
      <c r="I121" s="299"/>
      <c r="J121" s="299"/>
      <c r="K121" s="523"/>
    </row>
    <row r="122" spans="2:11" ht="27" customHeight="1">
      <c r="B122" s="540"/>
      <c r="C122" s="534"/>
      <c r="D122" s="534"/>
      <c r="E122" s="534"/>
      <c r="F122" s="299">
        <v>7</v>
      </c>
      <c r="G122" s="349" t="s">
        <v>689</v>
      </c>
      <c r="H122" s="349" t="s">
        <v>695</v>
      </c>
      <c r="I122" s="299"/>
      <c r="J122" s="299"/>
      <c r="K122" s="523"/>
    </row>
    <row r="123" spans="2:11" ht="27" customHeight="1">
      <c r="B123" s="540"/>
      <c r="C123" s="534"/>
      <c r="D123" s="534"/>
      <c r="E123" s="534"/>
      <c r="F123" s="299">
        <v>8</v>
      </c>
      <c r="G123" s="349" t="s">
        <v>690</v>
      </c>
      <c r="H123" s="349" t="s">
        <v>696</v>
      </c>
      <c r="I123" s="299"/>
      <c r="J123" s="299"/>
      <c r="K123" s="523"/>
    </row>
    <row r="124" spans="2:11" ht="27" customHeight="1">
      <c r="B124" s="540"/>
      <c r="C124" s="534"/>
      <c r="D124" s="534"/>
      <c r="E124" s="534"/>
      <c r="F124" s="299">
        <v>9</v>
      </c>
      <c r="G124" s="349" t="s">
        <v>691</v>
      </c>
      <c r="H124" s="349" t="s">
        <v>697</v>
      </c>
      <c r="I124" s="299" t="s">
        <v>726</v>
      </c>
      <c r="J124" s="381" t="s">
        <v>727</v>
      </c>
      <c r="K124" s="523"/>
    </row>
    <row r="125" spans="2:11" ht="27" customHeight="1">
      <c r="B125" s="540"/>
      <c r="C125" s="534"/>
      <c r="D125" s="534"/>
      <c r="E125" s="534"/>
      <c r="F125" s="299">
        <v>10</v>
      </c>
      <c r="G125" s="349" t="s">
        <v>692</v>
      </c>
      <c r="H125" s="349" t="s">
        <v>698</v>
      </c>
      <c r="I125" s="299"/>
      <c r="J125" s="299"/>
      <c r="K125" s="523"/>
    </row>
    <row r="126" spans="2:11" ht="27" customHeight="1">
      <c r="B126" s="540"/>
      <c r="C126" s="534"/>
      <c r="D126" s="534"/>
      <c r="E126" s="534"/>
      <c r="F126" s="299">
        <v>11</v>
      </c>
      <c r="G126" s="349" t="s">
        <v>693</v>
      </c>
      <c r="H126" s="349" t="s">
        <v>699</v>
      </c>
      <c r="I126" s="299"/>
      <c r="J126" s="299"/>
      <c r="K126" s="523"/>
    </row>
    <row r="127" spans="2:11" ht="27" customHeight="1">
      <c r="B127" s="540"/>
      <c r="C127" s="534"/>
      <c r="D127" s="534"/>
      <c r="E127" s="534"/>
      <c r="F127" s="299">
        <v>12</v>
      </c>
      <c r="G127" s="296" t="s">
        <v>610</v>
      </c>
      <c r="H127" s="296" t="s">
        <v>575</v>
      </c>
      <c r="I127" s="330"/>
      <c r="J127" s="330"/>
      <c r="K127" s="523"/>
    </row>
    <row r="128" spans="2:11" ht="27" customHeight="1">
      <c r="B128" s="540"/>
      <c r="C128" s="534"/>
      <c r="D128" s="534"/>
      <c r="E128" s="534"/>
      <c r="F128" s="299">
        <v>13</v>
      </c>
      <c r="G128" s="296" t="s">
        <v>576</v>
      </c>
      <c r="H128" s="319" t="s">
        <v>577</v>
      </c>
      <c r="I128" s="299"/>
      <c r="J128" s="299"/>
      <c r="K128" s="523"/>
    </row>
    <row r="129" spans="2:11" ht="27" customHeight="1">
      <c r="B129" s="540"/>
      <c r="C129" s="534"/>
      <c r="D129" s="534"/>
      <c r="E129" s="534"/>
      <c r="F129" s="299">
        <v>14</v>
      </c>
      <c r="G129" s="296" t="s">
        <v>578</v>
      </c>
      <c r="H129" s="319" t="s">
        <v>626</v>
      </c>
      <c r="I129" s="299"/>
      <c r="J129" s="299"/>
      <c r="K129" s="523"/>
    </row>
    <row r="130" spans="2:11" ht="27" customHeight="1">
      <c r="B130" s="540"/>
      <c r="C130" s="534"/>
      <c r="D130" s="534"/>
      <c r="E130" s="534"/>
      <c r="F130" s="299">
        <v>15</v>
      </c>
      <c r="G130" s="296" t="s">
        <v>579</v>
      </c>
      <c r="H130" s="329" t="s">
        <v>580</v>
      </c>
      <c r="I130" s="299"/>
      <c r="J130" s="299"/>
      <c r="K130" s="523"/>
    </row>
    <row r="131" spans="2:11" ht="27" customHeight="1">
      <c r="B131" s="540"/>
      <c r="C131" s="534"/>
      <c r="D131" s="534"/>
      <c r="E131" s="534"/>
      <c r="F131" s="299">
        <v>16</v>
      </c>
      <c r="G131" s="296" t="s">
        <v>568</v>
      </c>
      <c r="H131" s="296" t="s">
        <v>570</v>
      </c>
      <c r="I131" s="299"/>
      <c r="J131" s="299"/>
      <c r="K131" s="523"/>
    </row>
    <row r="132" spans="2:11" ht="27" customHeight="1" thickBot="1">
      <c r="B132" s="540"/>
      <c r="C132" s="534"/>
      <c r="D132" s="534"/>
      <c r="E132" s="534"/>
      <c r="F132" s="301">
        <v>17</v>
      </c>
      <c r="G132" s="297" t="s">
        <v>472</v>
      </c>
      <c r="H132" s="297" t="s">
        <v>581</v>
      </c>
      <c r="I132" s="340"/>
      <c r="J132" s="340"/>
      <c r="K132" s="523"/>
    </row>
    <row r="133" spans="2:11" ht="27" customHeight="1">
      <c r="B133" s="539">
        <v>20405</v>
      </c>
      <c r="C133" s="533">
        <v>20405</v>
      </c>
      <c r="D133" s="533" t="s">
        <v>623</v>
      </c>
      <c r="E133" s="533" t="s">
        <v>600</v>
      </c>
      <c r="F133" s="303">
        <v>0</v>
      </c>
      <c r="G133" s="323" t="s">
        <v>469</v>
      </c>
      <c r="H133" s="324" t="s">
        <v>497</v>
      </c>
      <c r="I133" s="321"/>
      <c r="J133" s="321"/>
      <c r="K133" s="522"/>
    </row>
    <row r="134" spans="2:11" ht="27" customHeight="1">
      <c r="B134" s="540"/>
      <c r="C134" s="534"/>
      <c r="D134" s="534"/>
      <c r="E134" s="534"/>
      <c r="F134" s="299">
        <v>1</v>
      </c>
      <c r="G134" s="296" t="s">
        <v>601</v>
      </c>
      <c r="H134" s="296" t="s">
        <v>602</v>
      </c>
      <c r="I134" s="299"/>
      <c r="J134" s="299"/>
      <c r="K134" s="523"/>
    </row>
    <row r="135" spans="2:11" ht="27" customHeight="1">
      <c r="B135" s="540"/>
      <c r="C135" s="534"/>
      <c r="D135" s="534"/>
      <c r="E135" s="534"/>
      <c r="F135" s="299">
        <v>2</v>
      </c>
      <c r="G135" s="296" t="s">
        <v>535</v>
      </c>
      <c r="H135" s="296" t="s">
        <v>485</v>
      </c>
      <c r="I135" s="330"/>
      <c r="J135" s="330"/>
      <c r="K135" s="523"/>
    </row>
    <row r="136" spans="2:11" ht="27" customHeight="1" thickBot="1">
      <c r="B136" s="540"/>
      <c r="C136" s="534"/>
      <c r="D136" s="534"/>
      <c r="E136" s="534"/>
      <c r="F136" s="301">
        <v>3</v>
      </c>
      <c r="G136" s="296" t="s">
        <v>625</v>
      </c>
      <c r="H136" s="296" t="s">
        <v>603</v>
      </c>
      <c r="I136" s="299"/>
      <c r="J136" s="299"/>
      <c r="K136" s="523"/>
    </row>
    <row r="137" spans="2:11" ht="27" customHeight="1">
      <c r="B137" s="550">
        <v>20102</v>
      </c>
      <c r="C137" s="552">
        <v>20102</v>
      </c>
      <c r="D137" s="533" t="s">
        <v>562</v>
      </c>
      <c r="E137" s="533" t="s">
        <v>560</v>
      </c>
      <c r="F137" s="303">
        <v>0</v>
      </c>
      <c r="G137" s="323" t="s">
        <v>469</v>
      </c>
      <c r="H137" s="324" t="s">
        <v>582</v>
      </c>
      <c r="I137" s="323"/>
      <c r="J137" s="323"/>
      <c r="K137" s="318"/>
    </row>
    <row r="138" spans="2:11" ht="27" customHeight="1">
      <c r="B138" s="551"/>
      <c r="C138" s="553"/>
      <c r="D138" s="534"/>
      <c r="E138" s="534"/>
      <c r="F138" s="299">
        <v>1</v>
      </c>
      <c r="G138" s="296" t="s">
        <v>396</v>
      </c>
      <c r="H138" s="296" t="s">
        <v>232</v>
      </c>
      <c r="I138" s="296"/>
      <c r="J138" s="296"/>
      <c r="K138" s="317"/>
    </row>
    <row r="139" spans="2:11" ht="27" customHeight="1">
      <c r="B139" s="551"/>
      <c r="C139" s="553"/>
      <c r="D139" s="534"/>
      <c r="E139" s="534"/>
      <c r="F139" s="299">
        <v>2</v>
      </c>
      <c r="G139" s="349" t="s">
        <v>601</v>
      </c>
      <c r="H139" s="349" t="s">
        <v>633</v>
      </c>
      <c r="I139" s="299"/>
      <c r="J139" s="299"/>
      <c r="K139" s="317"/>
    </row>
    <row r="140" spans="2:11" ht="27" customHeight="1">
      <c r="B140" s="551"/>
      <c r="C140" s="553"/>
      <c r="D140" s="534"/>
      <c r="E140" s="534"/>
      <c r="F140" s="299">
        <v>3</v>
      </c>
      <c r="G140" s="349" t="s">
        <v>632</v>
      </c>
      <c r="H140" s="349" t="s">
        <v>634</v>
      </c>
      <c r="I140" s="299"/>
      <c r="J140" s="299"/>
      <c r="K140" s="317"/>
    </row>
    <row r="141" spans="2:11" ht="27" customHeight="1">
      <c r="B141" s="551"/>
      <c r="C141" s="553"/>
      <c r="D141" s="534"/>
      <c r="E141" s="534"/>
      <c r="F141" s="299">
        <v>4</v>
      </c>
      <c r="G141" s="296" t="s">
        <v>395</v>
      </c>
      <c r="H141" s="296" t="s">
        <v>282</v>
      </c>
      <c r="I141" s="296"/>
      <c r="J141" s="296"/>
      <c r="K141" s="317"/>
    </row>
    <row r="142" spans="2:11" ht="27" customHeight="1">
      <c r="B142" s="551"/>
      <c r="C142" s="553"/>
      <c r="D142" s="534"/>
      <c r="E142" s="534"/>
      <c r="F142" s="299">
        <v>5</v>
      </c>
      <c r="G142" s="296" t="s">
        <v>480</v>
      </c>
      <c r="H142" s="296" t="s">
        <v>583</v>
      </c>
      <c r="I142" s="296"/>
      <c r="J142" s="296"/>
      <c r="K142" s="317"/>
    </row>
    <row r="143" spans="2:11" ht="27" customHeight="1">
      <c r="B143" s="551"/>
      <c r="C143" s="553"/>
      <c r="D143" s="534"/>
      <c r="E143" s="534"/>
      <c r="F143" s="299">
        <v>6</v>
      </c>
      <c r="G143" s="296" t="s">
        <v>553</v>
      </c>
      <c r="H143" s="296" t="s">
        <v>584</v>
      </c>
      <c r="I143" s="296"/>
      <c r="J143" s="296"/>
      <c r="K143" s="317"/>
    </row>
    <row r="144" spans="2:11" ht="27" customHeight="1">
      <c r="B144" s="551"/>
      <c r="C144" s="553"/>
      <c r="D144" s="534"/>
      <c r="E144" s="534"/>
      <c r="F144" s="299">
        <v>7</v>
      </c>
      <c r="G144" s="296" t="s">
        <v>554</v>
      </c>
      <c r="H144" s="296" t="s">
        <v>585</v>
      </c>
      <c r="I144" s="296"/>
      <c r="J144" s="296"/>
      <c r="K144" s="317"/>
    </row>
    <row r="145" spans="2:11" ht="27" customHeight="1">
      <c r="B145" s="551"/>
      <c r="C145" s="553"/>
      <c r="D145" s="534"/>
      <c r="E145" s="534"/>
      <c r="F145" s="299">
        <v>8</v>
      </c>
      <c r="G145" s="296" t="s">
        <v>555</v>
      </c>
      <c r="H145" s="296" t="s">
        <v>586</v>
      </c>
      <c r="I145" s="296"/>
      <c r="J145" s="296"/>
      <c r="K145" s="317"/>
    </row>
    <row r="146" spans="2:11" ht="27" customHeight="1">
      <c r="B146" s="551"/>
      <c r="C146" s="553"/>
      <c r="D146" s="534"/>
      <c r="E146" s="534"/>
      <c r="F146" s="299">
        <v>9</v>
      </c>
      <c r="G146" s="296" t="s">
        <v>587</v>
      </c>
      <c r="H146" s="296" t="s">
        <v>588</v>
      </c>
      <c r="I146" s="296"/>
      <c r="J146" s="296"/>
      <c r="K146" s="317"/>
    </row>
    <row r="147" spans="2:11" ht="27" customHeight="1">
      <c r="B147" s="551"/>
      <c r="C147" s="553"/>
      <c r="D147" s="534"/>
      <c r="E147" s="534"/>
      <c r="F147" s="299">
        <v>10</v>
      </c>
      <c r="G147" s="296" t="s">
        <v>568</v>
      </c>
      <c r="H147" s="296" t="s">
        <v>570</v>
      </c>
      <c r="I147" s="296"/>
      <c r="J147" s="296"/>
      <c r="K147" s="317"/>
    </row>
    <row r="148" spans="2:11" ht="27" customHeight="1" thickBot="1">
      <c r="B148" s="551"/>
      <c r="C148" s="553"/>
      <c r="D148" s="534"/>
      <c r="E148" s="534"/>
      <c r="F148" s="301">
        <v>11</v>
      </c>
      <c r="G148" s="297" t="s">
        <v>472</v>
      </c>
      <c r="H148" s="297" t="s">
        <v>581</v>
      </c>
      <c r="I148" s="296"/>
      <c r="J148" s="296"/>
      <c r="K148" s="317"/>
    </row>
    <row r="149" spans="2:11" ht="27" customHeight="1">
      <c r="B149" s="539">
        <v>20103</v>
      </c>
      <c r="C149" s="533">
        <v>20103</v>
      </c>
      <c r="D149" s="533" t="s">
        <v>630</v>
      </c>
      <c r="E149" s="533" t="s">
        <v>631</v>
      </c>
      <c r="F149" s="303">
        <v>0</v>
      </c>
      <c r="G149" s="298" t="s">
        <v>469</v>
      </c>
      <c r="H149" s="331" t="s">
        <v>582</v>
      </c>
      <c r="I149" s="321"/>
      <c r="J149" s="321"/>
      <c r="K149" s="522"/>
    </row>
    <row r="150" spans="2:11" ht="27" customHeight="1">
      <c r="B150" s="540"/>
      <c r="C150" s="534"/>
      <c r="D150" s="534"/>
      <c r="E150" s="534"/>
      <c r="F150" s="299">
        <v>1</v>
      </c>
      <c r="G150" s="296" t="s">
        <v>482</v>
      </c>
      <c r="H150" s="304" t="s">
        <v>232</v>
      </c>
      <c r="I150" s="299"/>
      <c r="J150" s="299"/>
      <c r="K150" s="523"/>
    </row>
    <row r="151" spans="2:11" ht="27" customHeight="1">
      <c r="B151" s="540"/>
      <c r="C151" s="534"/>
      <c r="D151" s="534"/>
      <c r="E151" s="534"/>
      <c r="F151" s="299">
        <v>2</v>
      </c>
      <c r="G151" s="296" t="s">
        <v>483</v>
      </c>
      <c r="H151" s="304" t="s">
        <v>589</v>
      </c>
      <c r="I151" s="299"/>
      <c r="J151" s="299"/>
      <c r="K151" s="523"/>
    </row>
    <row r="152" spans="2:11" ht="27" customHeight="1">
      <c r="B152" s="540"/>
      <c r="C152" s="534"/>
      <c r="D152" s="534"/>
      <c r="E152" s="534"/>
      <c r="F152" s="299">
        <v>3</v>
      </c>
      <c r="G152" s="304" t="s">
        <v>559</v>
      </c>
      <c r="H152" s="296"/>
      <c r="I152" s="299"/>
      <c r="J152" s="299"/>
      <c r="K152" s="523"/>
    </row>
    <row r="153" spans="2:11" ht="27" customHeight="1">
      <c r="B153" s="540"/>
      <c r="C153" s="534"/>
      <c r="D153" s="534"/>
      <c r="E153" s="534"/>
      <c r="F153" s="299">
        <v>4</v>
      </c>
      <c r="G153" s="296" t="s">
        <v>558</v>
      </c>
      <c r="H153" s="304"/>
      <c r="I153" s="299"/>
      <c r="J153" s="299"/>
      <c r="K153" s="523"/>
    </row>
    <row r="154" spans="2:11" ht="27" customHeight="1" thickBot="1">
      <c r="B154" s="541"/>
      <c r="C154" s="535"/>
      <c r="D154" s="535"/>
      <c r="E154" s="535"/>
      <c r="F154" s="301">
        <v>5</v>
      </c>
      <c r="G154" s="297" t="s">
        <v>472</v>
      </c>
      <c r="H154" s="297" t="s">
        <v>581</v>
      </c>
      <c r="I154" s="299"/>
      <c r="J154" s="299"/>
      <c r="K154" s="524"/>
    </row>
    <row r="155" spans="2:11" ht="27" customHeight="1">
      <c r="B155" s="539">
        <v>20104</v>
      </c>
      <c r="C155" s="533">
        <v>20104</v>
      </c>
      <c r="D155" s="533" t="s">
        <v>484</v>
      </c>
      <c r="E155" s="533" t="s">
        <v>490</v>
      </c>
      <c r="F155" s="303">
        <v>0</v>
      </c>
      <c r="G155" s="296" t="s">
        <v>469</v>
      </c>
      <c r="H155" s="319" t="s">
        <v>497</v>
      </c>
      <c r="I155" s="320"/>
      <c r="J155" s="320"/>
      <c r="K155" s="522"/>
    </row>
    <row r="156" spans="2:11" ht="27" customHeight="1">
      <c r="B156" s="540"/>
      <c r="C156" s="534"/>
      <c r="D156" s="534"/>
      <c r="E156" s="534"/>
      <c r="F156" s="299">
        <v>1</v>
      </c>
      <c r="G156" s="296" t="s">
        <v>396</v>
      </c>
      <c r="H156" s="296" t="s">
        <v>232</v>
      </c>
      <c r="I156" s="300"/>
      <c r="J156" s="300"/>
      <c r="K156" s="523"/>
    </row>
    <row r="157" spans="2:11" ht="27" customHeight="1" thickBot="1">
      <c r="B157" s="541"/>
      <c r="C157" s="535"/>
      <c r="D157" s="535"/>
      <c r="E157" s="535"/>
      <c r="F157" s="340">
        <v>2</v>
      </c>
      <c r="G157" s="297" t="s">
        <v>472</v>
      </c>
      <c r="H157" s="322" t="s">
        <v>312</v>
      </c>
      <c r="I157" s="302"/>
      <c r="J157" s="302"/>
      <c r="K157" s="524"/>
    </row>
    <row r="158" spans="2:11" ht="27" customHeight="1">
      <c r="B158" s="539">
        <v>50102</v>
      </c>
      <c r="C158" s="533">
        <v>50102</v>
      </c>
      <c r="D158" s="533" t="s">
        <v>529</v>
      </c>
      <c r="E158" s="533" t="s">
        <v>511</v>
      </c>
      <c r="F158" s="321">
        <v>0</v>
      </c>
      <c r="G158" s="296" t="s">
        <v>469</v>
      </c>
      <c r="H158" s="304" t="s">
        <v>497</v>
      </c>
      <c r="I158" s="321"/>
      <c r="J158" s="321"/>
      <c r="K158" s="522"/>
    </row>
    <row r="159" spans="2:11" ht="27" customHeight="1">
      <c r="B159" s="540"/>
      <c r="C159" s="534"/>
      <c r="D159" s="534"/>
      <c r="E159" s="534"/>
      <c r="F159" s="299">
        <v>1</v>
      </c>
      <c r="G159" s="296" t="s">
        <v>531</v>
      </c>
      <c r="H159" s="296" t="s">
        <v>533</v>
      </c>
      <c r="I159" s="299"/>
      <c r="J159" s="299"/>
      <c r="K159" s="523"/>
    </row>
    <row r="160" spans="2:11" ht="27" customHeight="1" thickBot="1">
      <c r="B160" s="541"/>
      <c r="C160" s="535"/>
      <c r="D160" s="535"/>
      <c r="E160" s="535"/>
      <c r="F160" s="301">
        <v>2</v>
      </c>
      <c r="G160" s="297" t="s">
        <v>472</v>
      </c>
      <c r="H160" s="297" t="s">
        <v>312</v>
      </c>
      <c r="I160" s="299"/>
      <c r="J160" s="299"/>
      <c r="K160" s="524"/>
    </row>
    <row r="161" spans="2:11" ht="27" customHeight="1">
      <c r="B161" s="539">
        <v>50103</v>
      </c>
      <c r="C161" s="533">
        <v>50103</v>
      </c>
      <c r="D161" s="533" t="s">
        <v>530</v>
      </c>
      <c r="E161" s="533" t="s">
        <v>511</v>
      </c>
      <c r="F161" s="303">
        <v>0</v>
      </c>
      <c r="G161" s="296" t="s">
        <v>469</v>
      </c>
      <c r="H161" s="304" t="s">
        <v>497</v>
      </c>
      <c r="I161" s="321"/>
      <c r="J161" s="321"/>
      <c r="K161" s="522"/>
    </row>
    <row r="162" spans="2:11" ht="27" customHeight="1">
      <c r="B162" s="540"/>
      <c r="C162" s="534"/>
      <c r="D162" s="534"/>
      <c r="E162" s="534"/>
      <c r="F162" s="299">
        <v>1</v>
      </c>
      <c r="G162" s="296" t="s">
        <v>532</v>
      </c>
      <c r="H162" s="296" t="s">
        <v>533</v>
      </c>
      <c r="I162" s="299"/>
      <c r="J162" s="299"/>
      <c r="K162" s="523"/>
    </row>
    <row r="163" spans="2:11" ht="27" customHeight="1" thickBot="1">
      <c r="B163" s="541"/>
      <c r="C163" s="535"/>
      <c r="D163" s="535"/>
      <c r="E163" s="535"/>
      <c r="F163" s="301">
        <v>2</v>
      </c>
      <c r="G163" s="297" t="s">
        <v>472</v>
      </c>
      <c r="H163" s="297" t="s">
        <v>312</v>
      </c>
      <c r="I163" s="301"/>
      <c r="J163" s="301"/>
      <c r="K163" s="524"/>
    </row>
    <row r="164" spans="2:11" ht="27" customHeight="1">
      <c r="B164" s="516">
        <v>10108</v>
      </c>
      <c r="C164" s="519">
        <v>10108</v>
      </c>
      <c r="D164" s="519" t="s">
        <v>739</v>
      </c>
      <c r="E164" s="519" t="s">
        <v>740</v>
      </c>
      <c r="F164" s="400">
        <v>0</v>
      </c>
      <c r="G164" s="401" t="s">
        <v>469</v>
      </c>
      <c r="H164" s="402" t="s">
        <v>497</v>
      </c>
      <c r="I164" s="400"/>
      <c r="J164" s="400"/>
      <c r="K164" s="522"/>
    </row>
    <row r="165" spans="2:11" ht="27" customHeight="1">
      <c r="B165" s="517"/>
      <c r="C165" s="520"/>
      <c r="D165" s="520"/>
      <c r="E165" s="520"/>
      <c r="F165" s="403">
        <v>1</v>
      </c>
      <c r="G165" s="404" t="s">
        <v>472</v>
      </c>
      <c r="H165" s="405" t="s">
        <v>312</v>
      </c>
      <c r="I165" s="406"/>
      <c r="J165" s="406"/>
      <c r="K165" s="523"/>
    </row>
    <row r="166" spans="2:11" ht="81">
      <c r="B166" s="517"/>
      <c r="C166" s="520"/>
      <c r="D166" s="520"/>
      <c r="E166" s="520"/>
      <c r="F166" s="403">
        <v>2</v>
      </c>
      <c r="G166" s="404" t="s">
        <v>741</v>
      </c>
      <c r="H166" s="405" t="s">
        <v>742</v>
      </c>
      <c r="I166" s="406"/>
      <c r="J166" s="406"/>
      <c r="K166" s="523"/>
    </row>
    <row r="167" spans="2:11" ht="81">
      <c r="B167" s="517"/>
      <c r="C167" s="520"/>
      <c r="D167" s="520"/>
      <c r="E167" s="520"/>
      <c r="F167" s="403">
        <v>2</v>
      </c>
      <c r="G167" s="404" t="s">
        <v>743</v>
      </c>
      <c r="H167" s="405" t="s">
        <v>744</v>
      </c>
      <c r="I167" s="406"/>
      <c r="J167" s="406"/>
      <c r="K167" s="523"/>
    </row>
    <row r="168" spans="2:11" ht="27" customHeight="1">
      <c r="B168" s="517"/>
      <c r="C168" s="520"/>
      <c r="D168" s="520"/>
      <c r="E168" s="520"/>
      <c r="F168" s="403">
        <v>3</v>
      </c>
      <c r="G168" s="404" t="s">
        <v>745</v>
      </c>
      <c r="H168" s="407" t="s">
        <v>746</v>
      </c>
      <c r="I168" s="525" t="s">
        <v>747</v>
      </c>
      <c r="J168" s="525"/>
      <c r="K168" s="523"/>
    </row>
    <row r="169" spans="2:11" ht="27" customHeight="1">
      <c r="B169" s="517"/>
      <c r="C169" s="520"/>
      <c r="D169" s="520"/>
      <c r="E169" s="520"/>
      <c r="F169" s="403">
        <v>4</v>
      </c>
      <c r="G169" s="404" t="s">
        <v>748</v>
      </c>
      <c r="H169" s="405" t="s">
        <v>749</v>
      </c>
      <c r="I169" s="526"/>
      <c r="J169" s="526"/>
      <c r="K169" s="523"/>
    </row>
    <row r="170" spans="2:11" ht="81">
      <c r="B170" s="517"/>
      <c r="C170" s="520"/>
      <c r="D170" s="520"/>
      <c r="E170" s="520"/>
      <c r="F170" s="403">
        <v>5</v>
      </c>
      <c r="G170" s="404" t="s">
        <v>750</v>
      </c>
      <c r="H170" s="405" t="s">
        <v>751</v>
      </c>
      <c r="I170" s="526"/>
      <c r="J170" s="526"/>
      <c r="K170" s="523"/>
    </row>
    <row r="171" spans="2:11" ht="27" customHeight="1">
      <c r="B171" s="517"/>
      <c r="C171" s="520"/>
      <c r="D171" s="520"/>
      <c r="E171" s="520"/>
      <c r="F171" s="403">
        <v>6</v>
      </c>
      <c r="G171" s="404" t="s">
        <v>752</v>
      </c>
      <c r="H171" s="405" t="s">
        <v>753</v>
      </c>
      <c r="I171" s="526"/>
      <c r="J171" s="526"/>
      <c r="K171" s="523"/>
    </row>
    <row r="172" spans="2:11" ht="27" customHeight="1">
      <c r="B172" s="517"/>
      <c r="C172" s="520"/>
      <c r="D172" s="520"/>
      <c r="E172" s="520"/>
      <c r="F172" s="408" t="s">
        <v>754</v>
      </c>
      <c r="G172" s="408" t="s">
        <v>754</v>
      </c>
      <c r="H172" s="405"/>
      <c r="I172" s="526"/>
      <c r="J172" s="526"/>
      <c r="K172" s="523"/>
    </row>
    <row r="173" spans="2:11" ht="27" customHeight="1">
      <c r="B173" s="517"/>
      <c r="C173" s="520"/>
      <c r="D173" s="520"/>
      <c r="E173" s="520"/>
      <c r="F173" s="403" t="s">
        <v>755</v>
      </c>
      <c r="G173" s="404" t="s">
        <v>756</v>
      </c>
      <c r="H173" s="405" t="s">
        <v>757</v>
      </c>
      <c r="I173" s="526"/>
      <c r="J173" s="526"/>
      <c r="K173" s="523"/>
    </row>
    <row r="174" spans="2:11" ht="81">
      <c r="B174" s="517"/>
      <c r="C174" s="520"/>
      <c r="D174" s="520"/>
      <c r="E174" s="520"/>
      <c r="F174" s="403" t="s">
        <v>758</v>
      </c>
      <c r="G174" s="404" t="s">
        <v>759</v>
      </c>
      <c r="H174" s="405" t="s">
        <v>760</v>
      </c>
      <c r="I174" s="526"/>
      <c r="J174" s="526"/>
      <c r="K174" s="523"/>
    </row>
    <row r="175" spans="2:11" ht="27" customHeight="1" thickBot="1">
      <c r="B175" s="518"/>
      <c r="C175" s="521"/>
      <c r="D175" s="521"/>
      <c r="E175" s="521"/>
      <c r="F175" s="409" t="s">
        <v>761</v>
      </c>
      <c r="G175" s="410" t="s">
        <v>762</v>
      </c>
      <c r="H175" s="411" t="s">
        <v>763</v>
      </c>
      <c r="I175" s="527"/>
      <c r="J175" s="527"/>
      <c r="K175" s="524"/>
    </row>
    <row r="176" spans="2:11" ht="27" customHeight="1">
      <c r="B176" s="516">
        <v>10109</v>
      </c>
      <c r="C176" s="519">
        <v>10109</v>
      </c>
      <c r="D176" s="519" t="s">
        <v>764</v>
      </c>
      <c r="E176" s="519" t="s">
        <v>765</v>
      </c>
      <c r="F176" s="400">
        <v>0</v>
      </c>
      <c r="G176" s="401" t="s">
        <v>469</v>
      </c>
      <c r="H176" s="402" t="s">
        <v>497</v>
      </c>
      <c r="I176" s="400"/>
      <c r="J176" s="400"/>
      <c r="K176" s="522"/>
    </row>
    <row r="177" spans="2:11" ht="121.5">
      <c r="B177" s="517"/>
      <c r="C177" s="520"/>
      <c r="D177" s="520"/>
      <c r="E177" s="520"/>
      <c r="F177" s="412">
        <v>1</v>
      </c>
      <c r="G177" s="413" t="s">
        <v>766</v>
      </c>
      <c r="H177" s="414" t="s">
        <v>767</v>
      </c>
      <c r="I177" s="412"/>
      <c r="J177" s="412"/>
      <c r="K177" s="523"/>
    </row>
    <row r="178" spans="2:11" ht="27" customHeight="1" thickBot="1">
      <c r="B178" s="518"/>
      <c r="C178" s="521"/>
      <c r="D178" s="521"/>
      <c r="E178" s="521"/>
      <c r="F178" s="409">
        <v>2</v>
      </c>
      <c r="G178" s="410" t="s">
        <v>472</v>
      </c>
      <c r="H178" s="411" t="s">
        <v>312</v>
      </c>
      <c r="I178" s="415"/>
      <c r="J178" s="415"/>
      <c r="K178" s="524"/>
    </row>
    <row r="179" spans="2:11" ht="27" customHeight="1">
      <c r="B179" s="516">
        <v>10201</v>
      </c>
      <c r="C179" s="519">
        <v>10201</v>
      </c>
      <c r="D179" s="519" t="s">
        <v>768</v>
      </c>
      <c r="E179" s="519" t="s">
        <v>769</v>
      </c>
      <c r="F179" s="400">
        <v>0</v>
      </c>
      <c r="G179" s="401" t="s">
        <v>469</v>
      </c>
      <c r="H179" s="402" t="s">
        <v>497</v>
      </c>
      <c r="I179" s="400"/>
      <c r="J179" s="400"/>
      <c r="K179" s="522"/>
    </row>
    <row r="180" spans="2:11" ht="27" customHeight="1">
      <c r="B180" s="517"/>
      <c r="C180" s="520"/>
      <c r="D180" s="520"/>
      <c r="E180" s="520"/>
      <c r="F180" s="412">
        <v>1</v>
      </c>
      <c r="G180" s="413" t="s">
        <v>472</v>
      </c>
      <c r="H180" s="414" t="s">
        <v>581</v>
      </c>
      <c r="I180" s="412"/>
      <c r="J180" s="412"/>
      <c r="K180" s="523"/>
    </row>
    <row r="181" spans="2:11">
      <c r="B181" s="517"/>
      <c r="C181" s="520"/>
      <c r="D181" s="520"/>
      <c r="E181" s="520"/>
      <c r="F181" s="412">
        <v>2</v>
      </c>
      <c r="G181" s="413" t="s">
        <v>770</v>
      </c>
      <c r="H181" s="414" t="s">
        <v>771</v>
      </c>
      <c r="I181" s="412"/>
      <c r="J181" s="412"/>
      <c r="K181" s="523"/>
    </row>
    <row r="182" spans="2:11" ht="27" customHeight="1">
      <c r="B182" s="517"/>
      <c r="C182" s="520"/>
      <c r="D182" s="520"/>
      <c r="E182" s="520"/>
      <c r="F182" s="403">
        <v>3</v>
      </c>
      <c r="G182" s="404" t="s">
        <v>772</v>
      </c>
      <c r="H182" s="405" t="s">
        <v>773</v>
      </c>
      <c r="I182" s="528" t="s">
        <v>774</v>
      </c>
      <c r="J182" s="528"/>
      <c r="K182" s="523"/>
    </row>
    <row r="183" spans="2:11" ht="81">
      <c r="B183" s="517"/>
      <c r="C183" s="520"/>
      <c r="D183" s="520"/>
      <c r="E183" s="520"/>
      <c r="F183" s="403">
        <v>4</v>
      </c>
      <c r="G183" s="404" t="s">
        <v>775</v>
      </c>
      <c r="H183" s="405" t="s">
        <v>776</v>
      </c>
      <c r="I183" s="529"/>
      <c r="J183" s="529"/>
      <c r="K183" s="523"/>
    </row>
    <row r="184" spans="2:11" ht="27" customHeight="1">
      <c r="B184" s="517"/>
      <c r="C184" s="520"/>
      <c r="D184" s="520"/>
      <c r="E184" s="520"/>
      <c r="F184" s="408" t="s">
        <v>754</v>
      </c>
      <c r="G184" s="408" t="s">
        <v>754</v>
      </c>
      <c r="H184" s="405"/>
      <c r="I184" s="529"/>
      <c r="J184" s="529"/>
      <c r="K184" s="523"/>
    </row>
    <row r="185" spans="2:11" ht="27" customHeight="1">
      <c r="B185" s="517"/>
      <c r="C185" s="520"/>
      <c r="D185" s="520"/>
      <c r="E185" s="520"/>
      <c r="F185" s="403" t="s">
        <v>777</v>
      </c>
      <c r="G185" s="404" t="s">
        <v>778</v>
      </c>
      <c r="H185" s="405" t="s">
        <v>779</v>
      </c>
      <c r="I185" s="529"/>
      <c r="J185" s="529"/>
      <c r="K185" s="523"/>
    </row>
    <row r="186" spans="2:11" ht="81.75" thickBot="1">
      <c r="B186" s="518"/>
      <c r="C186" s="521"/>
      <c r="D186" s="521"/>
      <c r="E186" s="521"/>
      <c r="F186" s="409" t="s">
        <v>780</v>
      </c>
      <c r="G186" s="410" t="s">
        <v>781</v>
      </c>
      <c r="H186" s="411" t="s">
        <v>782</v>
      </c>
      <c r="I186" s="530"/>
      <c r="J186" s="530"/>
      <c r="K186" s="524"/>
    </row>
    <row r="187" spans="2:11" ht="27" customHeight="1">
      <c r="B187" s="516">
        <v>10202</v>
      </c>
      <c r="C187" s="519">
        <v>10202</v>
      </c>
      <c r="D187" s="519" t="s">
        <v>783</v>
      </c>
      <c r="E187" s="519" t="s">
        <v>784</v>
      </c>
      <c r="F187" s="400">
        <v>0</v>
      </c>
      <c r="G187" s="401" t="s">
        <v>469</v>
      </c>
      <c r="H187" s="402" t="s">
        <v>497</v>
      </c>
      <c r="I187" s="531" t="s">
        <v>785</v>
      </c>
      <c r="J187" s="531"/>
      <c r="K187" s="522"/>
    </row>
    <row r="188" spans="2:11" ht="27" customHeight="1">
      <c r="B188" s="517"/>
      <c r="C188" s="520"/>
      <c r="D188" s="520"/>
      <c r="E188" s="520"/>
      <c r="F188" s="412">
        <v>1</v>
      </c>
      <c r="G188" s="413" t="s">
        <v>472</v>
      </c>
      <c r="H188" s="414" t="s">
        <v>581</v>
      </c>
      <c r="I188" s="532"/>
      <c r="J188" s="532"/>
      <c r="K188" s="523"/>
    </row>
    <row r="189" spans="2:11" ht="27" customHeight="1">
      <c r="B189" s="517"/>
      <c r="C189" s="520"/>
      <c r="D189" s="520"/>
      <c r="E189" s="520"/>
      <c r="F189" s="412">
        <v>2</v>
      </c>
      <c r="G189" s="404" t="s">
        <v>786</v>
      </c>
      <c r="H189" s="405" t="s">
        <v>787</v>
      </c>
      <c r="I189" s="528" t="s">
        <v>788</v>
      </c>
      <c r="J189" s="528"/>
      <c r="K189" s="523"/>
    </row>
    <row r="190" spans="2:11" ht="27" customHeight="1">
      <c r="B190" s="517"/>
      <c r="C190" s="520"/>
      <c r="D190" s="520"/>
      <c r="E190" s="520"/>
      <c r="F190" s="412">
        <v>3</v>
      </c>
      <c r="G190" s="404" t="s">
        <v>789</v>
      </c>
      <c r="H190" s="414" t="s">
        <v>790</v>
      </c>
      <c r="I190" s="529"/>
      <c r="J190" s="529"/>
      <c r="K190" s="523"/>
    </row>
    <row r="191" spans="2:11" ht="27" customHeight="1">
      <c r="B191" s="517"/>
      <c r="C191" s="520"/>
      <c r="D191" s="520"/>
      <c r="E191" s="520"/>
      <c r="F191" s="412">
        <v>4</v>
      </c>
      <c r="G191" s="404" t="s">
        <v>791</v>
      </c>
      <c r="H191" s="405" t="s">
        <v>792</v>
      </c>
      <c r="I191" s="529"/>
      <c r="J191" s="529"/>
      <c r="K191" s="523"/>
    </row>
    <row r="192" spans="2:11" ht="27" customHeight="1">
      <c r="B192" s="517"/>
      <c r="C192" s="520"/>
      <c r="D192" s="520"/>
      <c r="E192" s="520"/>
      <c r="F192" s="412">
        <v>5</v>
      </c>
      <c r="G192" s="404" t="s">
        <v>793</v>
      </c>
      <c r="H192" s="405" t="s">
        <v>794</v>
      </c>
      <c r="I192" s="529"/>
      <c r="J192" s="529"/>
      <c r="K192" s="523"/>
    </row>
    <row r="193" spans="2:11" ht="27" customHeight="1">
      <c r="B193" s="517"/>
      <c r="C193" s="520"/>
      <c r="D193" s="520"/>
      <c r="E193" s="520"/>
      <c r="F193" s="412">
        <v>6</v>
      </c>
      <c r="G193" s="404" t="s">
        <v>795</v>
      </c>
      <c r="H193" s="405" t="s">
        <v>796</v>
      </c>
      <c r="I193" s="529"/>
      <c r="J193" s="529"/>
      <c r="K193" s="523"/>
    </row>
    <row r="194" spans="2:11" ht="27" customHeight="1">
      <c r="B194" s="517"/>
      <c r="C194" s="520"/>
      <c r="D194" s="520"/>
      <c r="E194" s="520"/>
      <c r="F194" s="412">
        <v>7</v>
      </c>
      <c r="G194" s="404" t="s">
        <v>797</v>
      </c>
      <c r="H194" s="405" t="s">
        <v>798</v>
      </c>
      <c r="I194" s="529"/>
      <c r="J194" s="529"/>
      <c r="K194" s="523"/>
    </row>
    <row r="195" spans="2:11" ht="27" customHeight="1">
      <c r="B195" s="517"/>
      <c r="C195" s="520"/>
      <c r="D195" s="520"/>
      <c r="E195" s="520"/>
      <c r="F195" s="412">
        <v>8</v>
      </c>
      <c r="G195" s="404" t="s">
        <v>799</v>
      </c>
      <c r="H195" s="405" t="s">
        <v>800</v>
      </c>
      <c r="I195" s="529"/>
      <c r="J195" s="529"/>
      <c r="K195" s="523"/>
    </row>
    <row r="196" spans="2:11" ht="27" customHeight="1">
      <c r="B196" s="517"/>
      <c r="C196" s="520"/>
      <c r="D196" s="520"/>
      <c r="E196" s="520"/>
      <c r="F196" s="408" t="s">
        <v>754</v>
      </c>
      <c r="G196" s="408" t="s">
        <v>754</v>
      </c>
      <c r="H196" s="405"/>
      <c r="I196" s="529"/>
      <c r="J196" s="529"/>
      <c r="K196" s="523"/>
    </row>
    <row r="197" spans="2:11" ht="27" customHeight="1">
      <c r="B197" s="517"/>
      <c r="C197" s="520"/>
      <c r="D197" s="520"/>
      <c r="E197" s="520"/>
      <c r="F197" s="412" t="s">
        <v>801</v>
      </c>
      <c r="G197" s="404" t="s">
        <v>802</v>
      </c>
      <c r="H197" s="405" t="s">
        <v>792</v>
      </c>
      <c r="I197" s="529"/>
      <c r="J197" s="529"/>
      <c r="K197" s="523"/>
    </row>
    <row r="198" spans="2:11" ht="27" customHeight="1">
      <c r="B198" s="517"/>
      <c r="C198" s="520"/>
      <c r="D198" s="520"/>
      <c r="E198" s="520"/>
      <c r="F198" s="412" t="s">
        <v>803</v>
      </c>
      <c r="G198" s="404" t="s">
        <v>804</v>
      </c>
      <c r="H198" s="405" t="s">
        <v>794</v>
      </c>
      <c r="I198" s="529"/>
      <c r="J198" s="529"/>
      <c r="K198" s="523"/>
    </row>
    <row r="199" spans="2:11" ht="27" customHeight="1">
      <c r="B199" s="517"/>
      <c r="C199" s="520"/>
      <c r="D199" s="520"/>
      <c r="E199" s="520"/>
      <c r="F199" s="412" t="s">
        <v>805</v>
      </c>
      <c r="G199" s="404" t="s">
        <v>806</v>
      </c>
      <c r="H199" s="405" t="s">
        <v>796</v>
      </c>
      <c r="I199" s="529"/>
      <c r="J199" s="529"/>
      <c r="K199" s="523"/>
    </row>
    <row r="200" spans="2:11" ht="27" customHeight="1">
      <c r="B200" s="517"/>
      <c r="C200" s="520"/>
      <c r="D200" s="520"/>
      <c r="E200" s="520"/>
      <c r="F200" s="412" t="s">
        <v>807</v>
      </c>
      <c r="G200" s="404" t="s">
        <v>808</v>
      </c>
      <c r="H200" s="405" t="s">
        <v>798</v>
      </c>
      <c r="I200" s="529"/>
      <c r="J200" s="529"/>
      <c r="K200" s="523"/>
    </row>
    <row r="201" spans="2:11" ht="27" customHeight="1" thickBot="1">
      <c r="B201" s="518"/>
      <c r="C201" s="521"/>
      <c r="D201" s="521"/>
      <c r="E201" s="521"/>
      <c r="F201" s="409" t="s">
        <v>809</v>
      </c>
      <c r="G201" s="410" t="s">
        <v>810</v>
      </c>
      <c r="H201" s="411" t="s">
        <v>800</v>
      </c>
      <c r="I201" s="530"/>
      <c r="J201" s="530"/>
      <c r="K201" s="524"/>
    </row>
    <row r="202" spans="2:11" ht="27" customHeight="1">
      <c r="B202" s="516">
        <v>10203</v>
      </c>
      <c r="C202" s="519">
        <v>10203</v>
      </c>
      <c r="D202" s="519" t="s">
        <v>811</v>
      </c>
      <c r="E202" s="519" t="s">
        <v>784</v>
      </c>
      <c r="F202" s="400">
        <v>0</v>
      </c>
      <c r="G202" s="401" t="s">
        <v>469</v>
      </c>
      <c r="H202" s="402" t="s">
        <v>497</v>
      </c>
      <c r="I202" s="531" t="s">
        <v>785</v>
      </c>
      <c r="J202" s="531"/>
      <c r="K202" s="522"/>
    </row>
    <row r="203" spans="2:11" ht="27" customHeight="1">
      <c r="B203" s="517"/>
      <c r="C203" s="520"/>
      <c r="D203" s="520"/>
      <c r="E203" s="520"/>
      <c r="F203" s="412">
        <v>1</v>
      </c>
      <c r="G203" s="413" t="s">
        <v>472</v>
      </c>
      <c r="H203" s="414" t="s">
        <v>581</v>
      </c>
      <c r="I203" s="532"/>
      <c r="J203" s="532"/>
      <c r="K203" s="523"/>
    </row>
    <row r="204" spans="2:11" ht="27" customHeight="1">
      <c r="B204" s="517"/>
      <c r="C204" s="520"/>
      <c r="D204" s="520"/>
      <c r="E204" s="520"/>
      <c r="F204" s="412">
        <v>2</v>
      </c>
      <c r="G204" s="404" t="s">
        <v>786</v>
      </c>
      <c r="H204" s="405" t="s">
        <v>787</v>
      </c>
      <c r="I204" s="528" t="s">
        <v>788</v>
      </c>
      <c r="J204" s="528"/>
      <c r="K204" s="523"/>
    </row>
    <row r="205" spans="2:11" ht="27" customHeight="1">
      <c r="B205" s="517"/>
      <c r="C205" s="520"/>
      <c r="D205" s="520"/>
      <c r="E205" s="520"/>
      <c r="F205" s="412">
        <v>3</v>
      </c>
      <c r="G205" s="404" t="s">
        <v>789</v>
      </c>
      <c r="H205" s="414" t="s">
        <v>790</v>
      </c>
      <c r="I205" s="529"/>
      <c r="J205" s="529"/>
      <c r="K205" s="523"/>
    </row>
    <row r="206" spans="2:11" ht="27" customHeight="1">
      <c r="B206" s="517"/>
      <c r="C206" s="520"/>
      <c r="D206" s="520"/>
      <c r="E206" s="520"/>
      <c r="F206" s="412">
        <v>4</v>
      </c>
      <c r="G206" s="404" t="s">
        <v>791</v>
      </c>
      <c r="H206" s="405" t="s">
        <v>792</v>
      </c>
      <c r="I206" s="529"/>
      <c r="J206" s="529"/>
      <c r="K206" s="523"/>
    </row>
    <row r="207" spans="2:11" ht="27" customHeight="1">
      <c r="B207" s="517"/>
      <c r="C207" s="520"/>
      <c r="D207" s="520"/>
      <c r="E207" s="520"/>
      <c r="F207" s="412">
        <v>5</v>
      </c>
      <c r="G207" s="404" t="s">
        <v>793</v>
      </c>
      <c r="H207" s="405" t="s">
        <v>794</v>
      </c>
      <c r="I207" s="529"/>
      <c r="J207" s="529"/>
      <c r="K207" s="523"/>
    </row>
    <row r="208" spans="2:11" ht="27" customHeight="1">
      <c r="B208" s="517"/>
      <c r="C208" s="520"/>
      <c r="D208" s="520"/>
      <c r="E208" s="520"/>
      <c r="F208" s="412">
        <v>6</v>
      </c>
      <c r="G208" s="404" t="s">
        <v>795</v>
      </c>
      <c r="H208" s="405" t="s">
        <v>796</v>
      </c>
      <c r="I208" s="529"/>
      <c r="J208" s="529"/>
      <c r="K208" s="523"/>
    </row>
    <row r="209" spans="2:11" ht="27" customHeight="1">
      <c r="B209" s="517"/>
      <c r="C209" s="520"/>
      <c r="D209" s="520"/>
      <c r="E209" s="520"/>
      <c r="F209" s="412">
        <v>7</v>
      </c>
      <c r="G209" s="404" t="s">
        <v>797</v>
      </c>
      <c r="H209" s="405" t="s">
        <v>798</v>
      </c>
      <c r="I209" s="529"/>
      <c r="J209" s="529"/>
      <c r="K209" s="523"/>
    </row>
    <row r="210" spans="2:11" ht="27" customHeight="1">
      <c r="B210" s="517"/>
      <c r="C210" s="520"/>
      <c r="D210" s="520"/>
      <c r="E210" s="520"/>
      <c r="F210" s="412">
        <v>8</v>
      </c>
      <c r="G210" s="404" t="s">
        <v>799</v>
      </c>
      <c r="H210" s="405" t="s">
        <v>800</v>
      </c>
      <c r="I210" s="529"/>
      <c r="J210" s="529"/>
      <c r="K210" s="523"/>
    </row>
    <row r="211" spans="2:11" ht="27" customHeight="1">
      <c r="B211" s="517"/>
      <c r="C211" s="520"/>
      <c r="D211" s="520"/>
      <c r="E211" s="520"/>
      <c r="F211" s="408" t="s">
        <v>754</v>
      </c>
      <c r="G211" s="408" t="s">
        <v>754</v>
      </c>
      <c r="H211" s="405"/>
      <c r="I211" s="529"/>
      <c r="J211" s="529"/>
      <c r="K211" s="523"/>
    </row>
    <row r="212" spans="2:11" ht="27" customHeight="1">
      <c r="B212" s="517"/>
      <c r="C212" s="520"/>
      <c r="D212" s="520"/>
      <c r="E212" s="520"/>
      <c r="F212" s="412" t="s">
        <v>801</v>
      </c>
      <c r="G212" s="404" t="s">
        <v>802</v>
      </c>
      <c r="H212" s="405" t="s">
        <v>792</v>
      </c>
      <c r="I212" s="529"/>
      <c r="J212" s="529"/>
      <c r="K212" s="523"/>
    </row>
    <row r="213" spans="2:11" ht="27" customHeight="1">
      <c r="B213" s="517"/>
      <c r="C213" s="520"/>
      <c r="D213" s="520"/>
      <c r="E213" s="520"/>
      <c r="F213" s="412" t="s">
        <v>803</v>
      </c>
      <c r="G213" s="404" t="s">
        <v>804</v>
      </c>
      <c r="H213" s="405" t="s">
        <v>794</v>
      </c>
      <c r="I213" s="529"/>
      <c r="J213" s="529"/>
      <c r="K213" s="523"/>
    </row>
    <row r="214" spans="2:11" ht="27" customHeight="1">
      <c r="B214" s="517"/>
      <c r="C214" s="520"/>
      <c r="D214" s="520"/>
      <c r="E214" s="520"/>
      <c r="F214" s="412" t="s">
        <v>805</v>
      </c>
      <c r="G214" s="404" t="s">
        <v>806</v>
      </c>
      <c r="H214" s="405" t="s">
        <v>796</v>
      </c>
      <c r="I214" s="529"/>
      <c r="J214" s="529"/>
      <c r="K214" s="523"/>
    </row>
    <row r="215" spans="2:11" ht="27" customHeight="1">
      <c r="B215" s="517"/>
      <c r="C215" s="520"/>
      <c r="D215" s="520"/>
      <c r="E215" s="520"/>
      <c r="F215" s="412" t="s">
        <v>807</v>
      </c>
      <c r="G215" s="404" t="s">
        <v>808</v>
      </c>
      <c r="H215" s="405" t="s">
        <v>798</v>
      </c>
      <c r="I215" s="529"/>
      <c r="J215" s="529"/>
      <c r="K215" s="523"/>
    </row>
    <row r="216" spans="2:11" ht="27" customHeight="1" thickBot="1">
      <c r="B216" s="518"/>
      <c r="C216" s="521"/>
      <c r="D216" s="521"/>
      <c r="E216" s="521"/>
      <c r="F216" s="409" t="s">
        <v>809</v>
      </c>
      <c r="G216" s="410" t="s">
        <v>810</v>
      </c>
      <c r="H216" s="411" t="s">
        <v>800</v>
      </c>
      <c r="I216" s="530"/>
      <c r="J216" s="530"/>
      <c r="K216" s="524"/>
    </row>
    <row r="217" spans="2:11" ht="27" customHeight="1">
      <c r="B217" s="516">
        <v>10204</v>
      </c>
      <c r="C217" s="519">
        <v>10204</v>
      </c>
      <c r="D217" s="519" t="s">
        <v>812</v>
      </c>
      <c r="E217" s="519" t="s">
        <v>784</v>
      </c>
      <c r="F217" s="400">
        <v>0</v>
      </c>
      <c r="G217" s="401" t="s">
        <v>469</v>
      </c>
      <c r="H217" s="402" t="s">
        <v>497</v>
      </c>
      <c r="I217" s="531" t="s">
        <v>785</v>
      </c>
      <c r="J217" s="531"/>
      <c r="K217" s="522"/>
    </row>
    <row r="218" spans="2:11" ht="27" customHeight="1">
      <c r="B218" s="517"/>
      <c r="C218" s="520"/>
      <c r="D218" s="520"/>
      <c r="E218" s="520"/>
      <c r="F218" s="412">
        <v>1</v>
      </c>
      <c r="G218" s="413" t="s">
        <v>472</v>
      </c>
      <c r="H218" s="414" t="s">
        <v>581</v>
      </c>
      <c r="I218" s="532"/>
      <c r="J218" s="532"/>
      <c r="K218" s="523"/>
    </row>
    <row r="219" spans="2:11" ht="27" customHeight="1">
      <c r="B219" s="517"/>
      <c r="C219" s="520"/>
      <c r="D219" s="520"/>
      <c r="E219" s="520"/>
      <c r="F219" s="412">
        <v>2</v>
      </c>
      <c r="G219" s="404" t="s">
        <v>786</v>
      </c>
      <c r="H219" s="405" t="s">
        <v>787</v>
      </c>
      <c r="I219" s="528" t="s">
        <v>788</v>
      </c>
      <c r="J219" s="528"/>
      <c r="K219" s="523"/>
    </row>
    <row r="220" spans="2:11" ht="27" customHeight="1">
      <c r="B220" s="517"/>
      <c r="C220" s="520"/>
      <c r="D220" s="520"/>
      <c r="E220" s="520"/>
      <c r="F220" s="412">
        <v>3</v>
      </c>
      <c r="G220" s="404" t="s">
        <v>789</v>
      </c>
      <c r="H220" s="414" t="s">
        <v>790</v>
      </c>
      <c r="I220" s="529"/>
      <c r="J220" s="529"/>
      <c r="K220" s="523"/>
    </row>
    <row r="221" spans="2:11" ht="27" customHeight="1">
      <c r="B221" s="517"/>
      <c r="C221" s="520"/>
      <c r="D221" s="520"/>
      <c r="E221" s="520"/>
      <c r="F221" s="412">
        <v>4</v>
      </c>
      <c r="G221" s="404" t="s">
        <v>791</v>
      </c>
      <c r="H221" s="405" t="s">
        <v>792</v>
      </c>
      <c r="I221" s="529"/>
      <c r="J221" s="529"/>
      <c r="K221" s="523"/>
    </row>
    <row r="222" spans="2:11" ht="27" customHeight="1">
      <c r="B222" s="517"/>
      <c r="C222" s="520"/>
      <c r="D222" s="520"/>
      <c r="E222" s="520"/>
      <c r="F222" s="412">
        <v>5</v>
      </c>
      <c r="G222" s="404" t="s">
        <v>793</v>
      </c>
      <c r="H222" s="405" t="s">
        <v>794</v>
      </c>
      <c r="I222" s="529"/>
      <c r="J222" s="529"/>
      <c r="K222" s="523"/>
    </row>
    <row r="223" spans="2:11" ht="27" customHeight="1">
      <c r="B223" s="517"/>
      <c r="C223" s="520"/>
      <c r="D223" s="520"/>
      <c r="E223" s="520"/>
      <c r="F223" s="412">
        <v>6</v>
      </c>
      <c r="G223" s="404" t="s">
        <v>795</v>
      </c>
      <c r="H223" s="405" t="s">
        <v>796</v>
      </c>
      <c r="I223" s="529"/>
      <c r="J223" s="529"/>
      <c r="K223" s="523"/>
    </row>
    <row r="224" spans="2:11" ht="27" customHeight="1">
      <c r="B224" s="517"/>
      <c r="C224" s="520"/>
      <c r="D224" s="520"/>
      <c r="E224" s="520"/>
      <c r="F224" s="412">
        <v>7</v>
      </c>
      <c r="G224" s="404" t="s">
        <v>797</v>
      </c>
      <c r="H224" s="405" t="s">
        <v>798</v>
      </c>
      <c r="I224" s="529"/>
      <c r="J224" s="529"/>
      <c r="K224" s="523"/>
    </row>
    <row r="225" spans="2:11" ht="27" customHeight="1">
      <c r="B225" s="517"/>
      <c r="C225" s="520"/>
      <c r="D225" s="520"/>
      <c r="E225" s="520"/>
      <c r="F225" s="412">
        <v>8</v>
      </c>
      <c r="G225" s="404" t="s">
        <v>799</v>
      </c>
      <c r="H225" s="405" t="s">
        <v>800</v>
      </c>
      <c r="I225" s="529"/>
      <c r="J225" s="529"/>
      <c r="K225" s="523"/>
    </row>
    <row r="226" spans="2:11" ht="27" customHeight="1">
      <c r="B226" s="517"/>
      <c r="C226" s="520"/>
      <c r="D226" s="520"/>
      <c r="E226" s="520"/>
      <c r="F226" s="408" t="s">
        <v>754</v>
      </c>
      <c r="G226" s="408" t="s">
        <v>754</v>
      </c>
      <c r="H226" s="405"/>
      <c r="I226" s="529"/>
      <c r="J226" s="529"/>
      <c r="K226" s="523"/>
    </row>
    <row r="227" spans="2:11" ht="27" customHeight="1">
      <c r="B227" s="517"/>
      <c r="C227" s="520"/>
      <c r="D227" s="520"/>
      <c r="E227" s="520"/>
      <c r="F227" s="412" t="s">
        <v>813</v>
      </c>
      <c r="G227" s="404" t="s">
        <v>802</v>
      </c>
      <c r="H227" s="405" t="s">
        <v>792</v>
      </c>
      <c r="I227" s="529"/>
      <c r="J227" s="529"/>
      <c r="K227" s="523"/>
    </row>
    <row r="228" spans="2:11" ht="27" customHeight="1">
      <c r="B228" s="517"/>
      <c r="C228" s="520"/>
      <c r="D228" s="520"/>
      <c r="E228" s="520"/>
      <c r="F228" s="412" t="s">
        <v>803</v>
      </c>
      <c r="G228" s="404" t="s">
        <v>804</v>
      </c>
      <c r="H228" s="405" t="s">
        <v>794</v>
      </c>
      <c r="I228" s="529"/>
      <c r="J228" s="529"/>
      <c r="K228" s="523"/>
    </row>
    <row r="229" spans="2:11" ht="27" customHeight="1">
      <c r="B229" s="517"/>
      <c r="C229" s="520"/>
      <c r="D229" s="520"/>
      <c r="E229" s="520"/>
      <c r="F229" s="412" t="s">
        <v>805</v>
      </c>
      <c r="G229" s="404" t="s">
        <v>806</v>
      </c>
      <c r="H229" s="405" t="s">
        <v>796</v>
      </c>
      <c r="I229" s="529"/>
      <c r="J229" s="529"/>
      <c r="K229" s="523"/>
    </row>
    <row r="230" spans="2:11" ht="27" customHeight="1">
      <c r="B230" s="517"/>
      <c r="C230" s="520"/>
      <c r="D230" s="520"/>
      <c r="E230" s="520"/>
      <c r="F230" s="412" t="s">
        <v>807</v>
      </c>
      <c r="G230" s="404" t="s">
        <v>808</v>
      </c>
      <c r="H230" s="405" t="s">
        <v>798</v>
      </c>
      <c r="I230" s="529"/>
      <c r="J230" s="529"/>
      <c r="K230" s="523"/>
    </row>
    <row r="231" spans="2:11" ht="27" customHeight="1" thickBot="1">
      <c r="B231" s="518"/>
      <c r="C231" s="521"/>
      <c r="D231" s="521"/>
      <c r="E231" s="521"/>
      <c r="F231" s="409" t="s">
        <v>809</v>
      </c>
      <c r="G231" s="410" t="s">
        <v>810</v>
      </c>
      <c r="H231" s="411" t="s">
        <v>800</v>
      </c>
      <c r="I231" s="530"/>
      <c r="J231" s="530"/>
      <c r="K231" s="524"/>
    </row>
    <row r="232" spans="2:11" ht="27" customHeight="1">
      <c r="B232" s="516">
        <v>10205</v>
      </c>
      <c r="C232" s="519">
        <v>10205</v>
      </c>
      <c r="D232" s="519" t="s">
        <v>814</v>
      </c>
      <c r="E232" s="519" t="s">
        <v>784</v>
      </c>
      <c r="F232" s="400">
        <v>0</v>
      </c>
      <c r="G232" s="401" t="s">
        <v>469</v>
      </c>
      <c r="H232" s="402" t="s">
        <v>497</v>
      </c>
      <c r="I232" s="531" t="s">
        <v>785</v>
      </c>
      <c r="J232" s="531"/>
      <c r="K232" s="522"/>
    </row>
    <row r="233" spans="2:11" ht="27" customHeight="1">
      <c r="B233" s="517"/>
      <c r="C233" s="520"/>
      <c r="D233" s="520"/>
      <c r="E233" s="520"/>
      <c r="F233" s="412">
        <v>1</v>
      </c>
      <c r="G233" s="413" t="s">
        <v>472</v>
      </c>
      <c r="H233" s="414" t="s">
        <v>581</v>
      </c>
      <c r="I233" s="532"/>
      <c r="J233" s="532"/>
      <c r="K233" s="523"/>
    </row>
    <row r="234" spans="2:11" ht="27" customHeight="1">
      <c r="B234" s="517"/>
      <c r="C234" s="520"/>
      <c r="D234" s="520"/>
      <c r="E234" s="520"/>
      <c r="F234" s="412">
        <v>2</v>
      </c>
      <c r="G234" s="404" t="s">
        <v>786</v>
      </c>
      <c r="H234" s="405" t="s">
        <v>787</v>
      </c>
      <c r="I234" s="528" t="s">
        <v>788</v>
      </c>
      <c r="J234" s="528"/>
      <c r="K234" s="523"/>
    </row>
    <row r="235" spans="2:11" ht="27" customHeight="1">
      <c r="B235" s="517"/>
      <c r="C235" s="520"/>
      <c r="D235" s="520"/>
      <c r="E235" s="520"/>
      <c r="F235" s="412">
        <v>3</v>
      </c>
      <c r="G235" s="404" t="s">
        <v>789</v>
      </c>
      <c r="H235" s="414" t="s">
        <v>790</v>
      </c>
      <c r="I235" s="529"/>
      <c r="J235" s="529"/>
      <c r="K235" s="523"/>
    </row>
    <row r="236" spans="2:11" ht="27" customHeight="1">
      <c r="B236" s="517"/>
      <c r="C236" s="520"/>
      <c r="D236" s="520"/>
      <c r="E236" s="520"/>
      <c r="F236" s="412">
        <v>4</v>
      </c>
      <c r="G236" s="404" t="s">
        <v>791</v>
      </c>
      <c r="H236" s="405" t="s">
        <v>792</v>
      </c>
      <c r="I236" s="529"/>
      <c r="J236" s="529"/>
      <c r="K236" s="523"/>
    </row>
    <row r="237" spans="2:11" ht="27" customHeight="1">
      <c r="B237" s="517"/>
      <c r="C237" s="520"/>
      <c r="D237" s="520"/>
      <c r="E237" s="520"/>
      <c r="F237" s="412">
        <v>5</v>
      </c>
      <c r="G237" s="404" t="s">
        <v>793</v>
      </c>
      <c r="H237" s="405" t="s">
        <v>794</v>
      </c>
      <c r="I237" s="529"/>
      <c r="J237" s="529"/>
      <c r="K237" s="523"/>
    </row>
    <row r="238" spans="2:11" ht="27" customHeight="1">
      <c r="B238" s="517"/>
      <c r="C238" s="520"/>
      <c r="D238" s="520"/>
      <c r="E238" s="520"/>
      <c r="F238" s="412">
        <v>6</v>
      </c>
      <c r="G238" s="404" t="s">
        <v>795</v>
      </c>
      <c r="H238" s="405" t="s">
        <v>796</v>
      </c>
      <c r="I238" s="529"/>
      <c r="J238" s="529"/>
      <c r="K238" s="523"/>
    </row>
    <row r="239" spans="2:11" ht="27" customHeight="1">
      <c r="B239" s="517"/>
      <c r="C239" s="520"/>
      <c r="D239" s="520"/>
      <c r="E239" s="520"/>
      <c r="F239" s="412">
        <v>7</v>
      </c>
      <c r="G239" s="404" t="s">
        <v>797</v>
      </c>
      <c r="H239" s="405" t="s">
        <v>798</v>
      </c>
      <c r="I239" s="529"/>
      <c r="J239" s="529"/>
      <c r="K239" s="523"/>
    </row>
    <row r="240" spans="2:11" ht="27" customHeight="1">
      <c r="B240" s="517"/>
      <c r="C240" s="520"/>
      <c r="D240" s="520"/>
      <c r="E240" s="520"/>
      <c r="F240" s="412">
        <v>8</v>
      </c>
      <c r="G240" s="404" t="s">
        <v>799</v>
      </c>
      <c r="H240" s="405" t="s">
        <v>800</v>
      </c>
      <c r="I240" s="529"/>
      <c r="J240" s="529"/>
      <c r="K240" s="523"/>
    </row>
    <row r="241" spans="2:11" ht="27" customHeight="1">
      <c r="B241" s="517"/>
      <c r="C241" s="520"/>
      <c r="D241" s="520"/>
      <c r="E241" s="520"/>
      <c r="F241" s="408" t="s">
        <v>754</v>
      </c>
      <c r="G241" s="408" t="s">
        <v>754</v>
      </c>
      <c r="H241" s="405"/>
      <c r="I241" s="529"/>
      <c r="J241" s="529"/>
      <c r="K241" s="523"/>
    </row>
    <row r="242" spans="2:11" ht="27" customHeight="1">
      <c r="B242" s="517"/>
      <c r="C242" s="520"/>
      <c r="D242" s="520"/>
      <c r="E242" s="520"/>
      <c r="F242" s="412" t="s">
        <v>813</v>
      </c>
      <c r="G242" s="404" t="s">
        <v>802</v>
      </c>
      <c r="H242" s="405" t="s">
        <v>792</v>
      </c>
      <c r="I242" s="529"/>
      <c r="J242" s="529"/>
      <c r="K242" s="523"/>
    </row>
    <row r="243" spans="2:11" ht="27" customHeight="1">
      <c r="B243" s="517"/>
      <c r="C243" s="520"/>
      <c r="D243" s="520"/>
      <c r="E243" s="520"/>
      <c r="F243" s="412" t="s">
        <v>803</v>
      </c>
      <c r="G243" s="404" t="s">
        <v>804</v>
      </c>
      <c r="H243" s="405" t="s">
        <v>794</v>
      </c>
      <c r="I243" s="529"/>
      <c r="J243" s="529"/>
      <c r="K243" s="523"/>
    </row>
    <row r="244" spans="2:11" ht="27" customHeight="1">
      <c r="B244" s="517"/>
      <c r="C244" s="520"/>
      <c r="D244" s="520"/>
      <c r="E244" s="520"/>
      <c r="F244" s="412" t="s">
        <v>805</v>
      </c>
      <c r="G244" s="404" t="s">
        <v>806</v>
      </c>
      <c r="H244" s="405" t="s">
        <v>796</v>
      </c>
      <c r="I244" s="529"/>
      <c r="J244" s="529"/>
      <c r="K244" s="523"/>
    </row>
    <row r="245" spans="2:11" ht="27" customHeight="1">
      <c r="B245" s="517"/>
      <c r="C245" s="520"/>
      <c r="D245" s="520"/>
      <c r="E245" s="520"/>
      <c r="F245" s="412" t="s">
        <v>807</v>
      </c>
      <c r="G245" s="404" t="s">
        <v>808</v>
      </c>
      <c r="H245" s="405" t="s">
        <v>798</v>
      </c>
      <c r="I245" s="529"/>
      <c r="J245" s="529"/>
      <c r="K245" s="523"/>
    </row>
    <row r="246" spans="2:11" ht="27" customHeight="1" thickBot="1">
      <c r="B246" s="518"/>
      <c r="C246" s="521"/>
      <c r="D246" s="521"/>
      <c r="E246" s="521"/>
      <c r="F246" s="409" t="s">
        <v>809</v>
      </c>
      <c r="G246" s="410" t="s">
        <v>810</v>
      </c>
      <c r="H246" s="411" t="s">
        <v>800</v>
      </c>
      <c r="I246" s="530"/>
      <c r="J246" s="530"/>
      <c r="K246" s="524"/>
    </row>
    <row r="247" spans="2:11" ht="27" customHeight="1">
      <c r="B247" s="516">
        <v>10206</v>
      </c>
      <c r="C247" s="519">
        <v>10206</v>
      </c>
      <c r="D247" s="519" t="s">
        <v>815</v>
      </c>
      <c r="E247" s="519" t="s">
        <v>784</v>
      </c>
      <c r="F247" s="400">
        <v>0</v>
      </c>
      <c r="G247" s="401" t="s">
        <v>469</v>
      </c>
      <c r="H247" s="402" t="s">
        <v>497</v>
      </c>
      <c r="I247" s="531" t="s">
        <v>785</v>
      </c>
      <c r="J247" s="531"/>
      <c r="K247" s="522"/>
    </row>
    <row r="248" spans="2:11" ht="27" customHeight="1">
      <c r="B248" s="517"/>
      <c r="C248" s="520"/>
      <c r="D248" s="520"/>
      <c r="E248" s="520"/>
      <c r="F248" s="412">
        <v>1</v>
      </c>
      <c r="G248" s="413" t="s">
        <v>472</v>
      </c>
      <c r="H248" s="414" t="s">
        <v>581</v>
      </c>
      <c r="I248" s="532"/>
      <c r="J248" s="532"/>
      <c r="K248" s="523"/>
    </row>
    <row r="249" spans="2:11" ht="27" customHeight="1">
      <c r="B249" s="517"/>
      <c r="C249" s="520"/>
      <c r="D249" s="520"/>
      <c r="E249" s="520"/>
      <c r="F249" s="412">
        <v>2</v>
      </c>
      <c r="G249" s="404" t="s">
        <v>786</v>
      </c>
      <c r="H249" s="405" t="s">
        <v>787</v>
      </c>
      <c r="I249" s="528" t="s">
        <v>788</v>
      </c>
      <c r="J249" s="528"/>
      <c r="K249" s="523"/>
    </row>
    <row r="250" spans="2:11" ht="27" customHeight="1">
      <c r="B250" s="517"/>
      <c r="C250" s="520"/>
      <c r="D250" s="520"/>
      <c r="E250" s="520"/>
      <c r="F250" s="412">
        <v>3</v>
      </c>
      <c r="G250" s="404" t="s">
        <v>789</v>
      </c>
      <c r="H250" s="414" t="s">
        <v>790</v>
      </c>
      <c r="I250" s="529"/>
      <c r="J250" s="529"/>
      <c r="K250" s="523"/>
    </row>
    <row r="251" spans="2:11" ht="27" customHeight="1">
      <c r="B251" s="517"/>
      <c r="C251" s="520"/>
      <c r="D251" s="520"/>
      <c r="E251" s="520"/>
      <c r="F251" s="412">
        <v>4</v>
      </c>
      <c r="G251" s="404" t="s">
        <v>791</v>
      </c>
      <c r="H251" s="405" t="s">
        <v>792</v>
      </c>
      <c r="I251" s="529"/>
      <c r="J251" s="529"/>
      <c r="K251" s="523"/>
    </row>
    <row r="252" spans="2:11" ht="27" customHeight="1">
      <c r="B252" s="517"/>
      <c r="C252" s="520"/>
      <c r="D252" s="520"/>
      <c r="E252" s="520"/>
      <c r="F252" s="412">
        <v>5</v>
      </c>
      <c r="G252" s="404" t="s">
        <v>793</v>
      </c>
      <c r="H252" s="405" t="s">
        <v>794</v>
      </c>
      <c r="I252" s="529"/>
      <c r="J252" s="529"/>
      <c r="K252" s="523"/>
    </row>
    <row r="253" spans="2:11" ht="27" customHeight="1">
      <c r="B253" s="517"/>
      <c r="C253" s="520"/>
      <c r="D253" s="520"/>
      <c r="E253" s="520"/>
      <c r="F253" s="412">
        <v>6</v>
      </c>
      <c r="G253" s="404" t="s">
        <v>795</v>
      </c>
      <c r="H253" s="405" t="s">
        <v>796</v>
      </c>
      <c r="I253" s="529"/>
      <c r="J253" s="529"/>
      <c r="K253" s="523"/>
    </row>
    <row r="254" spans="2:11" ht="27" customHeight="1">
      <c r="B254" s="517"/>
      <c r="C254" s="520"/>
      <c r="D254" s="520"/>
      <c r="E254" s="520"/>
      <c r="F254" s="412">
        <v>7</v>
      </c>
      <c r="G254" s="404" t="s">
        <v>797</v>
      </c>
      <c r="H254" s="405" t="s">
        <v>798</v>
      </c>
      <c r="I254" s="529"/>
      <c r="J254" s="529"/>
      <c r="K254" s="523"/>
    </row>
    <row r="255" spans="2:11" ht="27" customHeight="1">
      <c r="B255" s="517"/>
      <c r="C255" s="520"/>
      <c r="D255" s="520"/>
      <c r="E255" s="520"/>
      <c r="F255" s="412">
        <v>8</v>
      </c>
      <c r="G255" s="404" t="s">
        <v>799</v>
      </c>
      <c r="H255" s="405" t="s">
        <v>800</v>
      </c>
      <c r="I255" s="529"/>
      <c r="J255" s="529"/>
      <c r="K255" s="523"/>
    </row>
    <row r="256" spans="2:11" ht="27" customHeight="1">
      <c r="B256" s="517"/>
      <c r="C256" s="520"/>
      <c r="D256" s="520"/>
      <c r="E256" s="520"/>
      <c r="F256" s="408" t="s">
        <v>754</v>
      </c>
      <c r="G256" s="408" t="s">
        <v>754</v>
      </c>
      <c r="H256" s="405"/>
      <c r="I256" s="529"/>
      <c r="J256" s="529"/>
      <c r="K256" s="523"/>
    </row>
    <row r="257" spans="2:11" ht="27" customHeight="1">
      <c r="B257" s="517"/>
      <c r="C257" s="520"/>
      <c r="D257" s="520"/>
      <c r="E257" s="520"/>
      <c r="F257" s="412" t="s">
        <v>813</v>
      </c>
      <c r="G257" s="404" t="s">
        <v>802</v>
      </c>
      <c r="H257" s="405" t="s">
        <v>792</v>
      </c>
      <c r="I257" s="529"/>
      <c r="J257" s="529"/>
      <c r="K257" s="523"/>
    </row>
    <row r="258" spans="2:11" ht="27" customHeight="1">
      <c r="B258" s="517"/>
      <c r="C258" s="520"/>
      <c r="D258" s="520"/>
      <c r="E258" s="520"/>
      <c r="F258" s="412" t="s">
        <v>803</v>
      </c>
      <c r="G258" s="404" t="s">
        <v>804</v>
      </c>
      <c r="H258" s="405" t="s">
        <v>794</v>
      </c>
      <c r="I258" s="529"/>
      <c r="J258" s="529"/>
      <c r="K258" s="523"/>
    </row>
    <row r="259" spans="2:11" ht="27" customHeight="1">
      <c r="B259" s="517"/>
      <c r="C259" s="520"/>
      <c r="D259" s="520"/>
      <c r="E259" s="520"/>
      <c r="F259" s="412" t="s">
        <v>805</v>
      </c>
      <c r="G259" s="404" t="s">
        <v>806</v>
      </c>
      <c r="H259" s="405" t="s">
        <v>796</v>
      </c>
      <c r="I259" s="529"/>
      <c r="J259" s="529"/>
      <c r="K259" s="523"/>
    </row>
    <row r="260" spans="2:11" ht="27" customHeight="1">
      <c r="B260" s="517"/>
      <c r="C260" s="520"/>
      <c r="D260" s="520"/>
      <c r="E260" s="520"/>
      <c r="F260" s="412" t="s">
        <v>807</v>
      </c>
      <c r="G260" s="404" t="s">
        <v>808</v>
      </c>
      <c r="H260" s="405" t="s">
        <v>798</v>
      </c>
      <c r="I260" s="529"/>
      <c r="J260" s="529"/>
      <c r="K260" s="523"/>
    </row>
    <row r="261" spans="2:11" ht="27" customHeight="1" thickBot="1">
      <c r="B261" s="518"/>
      <c r="C261" s="521"/>
      <c r="D261" s="521"/>
      <c r="E261" s="521"/>
      <c r="F261" s="409" t="s">
        <v>809</v>
      </c>
      <c r="G261" s="410" t="s">
        <v>810</v>
      </c>
      <c r="H261" s="411" t="s">
        <v>800</v>
      </c>
      <c r="I261" s="530"/>
      <c r="J261" s="530"/>
      <c r="K261" s="524"/>
    </row>
    <row r="262" spans="2:11" ht="27" customHeight="1">
      <c r="B262" s="516">
        <v>50105</v>
      </c>
      <c r="C262" s="519">
        <v>50105</v>
      </c>
      <c r="D262" s="519" t="s">
        <v>816</v>
      </c>
      <c r="E262" s="519" t="s">
        <v>784</v>
      </c>
      <c r="F262" s="400">
        <v>0</v>
      </c>
      <c r="G262" s="401" t="s">
        <v>469</v>
      </c>
      <c r="H262" s="402" t="s">
        <v>497</v>
      </c>
      <c r="I262" s="416"/>
      <c r="J262" s="416"/>
      <c r="K262" s="522"/>
    </row>
    <row r="263" spans="2:11" ht="27" customHeight="1">
      <c r="B263" s="517"/>
      <c r="C263" s="520"/>
      <c r="D263" s="520"/>
      <c r="E263" s="520"/>
      <c r="F263" s="412">
        <v>1</v>
      </c>
      <c r="G263" s="413" t="s">
        <v>817</v>
      </c>
      <c r="H263" s="414" t="s">
        <v>818</v>
      </c>
      <c r="I263" s="417"/>
      <c r="J263" s="417"/>
      <c r="K263" s="523"/>
    </row>
    <row r="264" spans="2:11" ht="27" customHeight="1">
      <c r="B264" s="517"/>
      <c r="C264" s="520"/>
      <c r="D264" s="520"/>
      <c r="E264" s="520"/>
      <c r="F264" s="412">
        <v>2</v>
      </c>
      <c r="G264" s="404" t="s">
        <v>819</v>
      </c>
      <c r="H264" s="405" t="s">
        <v>820</v>
      </c>
      <c r="I264" s="418"/>
      <c r="J264" s="418"/>
      <c r="K264" s="523"/>
    </row>
    <row r="265" spans="2:11" ht="27" customHeight="1">
      <c r="B265" s="517"/>
      <c r="C265" s="520"/>
      <c r="D265" s="520"/>
      <c r="E265" s="520"/>
      <c r="F265" s="412">
        <v>3</v>
      </c>
      <c r="G265" s="404" t="s">
        <v>821</v>
      </c>
      <c r="H265" s="414" t="s">
        <v>822</v>
      </c>
      <c r="I265" s="419"/>
      <c r="J265" s="419"/>
      <c r="K265" s="523"/>
    </row>
    <row r="266" spans="2:11" ht="27" customHeight="1">
      <c r="B266" s="517"/>
      <c r="C266" s="520"/>
      <c r="D266" s="520"/>
      <c r="E266" s="520"/>
      <c r="F266" s="412">
        <v>4</v>
      </c>
      <c r="G266" s="404" t="s">
        <v>472</v>
      </c>
      <c r="H266" s="405" t="s">
        <v>581</v>
      </c>
      <c r="I266" s="419"/>
      <c r="J266" s="419"/>
      <c r="K266" s="523"/>
    </row>
    <row r="267" spans="2:11" ht="27" customHeight="1">
      <c r="B267" s="517"/>
      <c r="C267" s="520"/>
      <c r="D267" s="520"/>
      <c r="E267" s="520"/>
      <c r="F267" s="412">
        <v>5</v>
      </c>
      <c r="G267" s="404" t="s">
        <v>745</v>
      </c>
      <c r="H267" s="405" t="s">
        <v>823</v>
      </c>
      <c r="I267" s="419"/>
      <c r="J267" s="419"/>
      <c r="K267" s="523"/>
    </row>
    <row r="268" spans="2:11" ht="27" customHeight="1">
      <c r="B268" s="517"/>
      <c r="C268" s="520"/>
      <c r="D268" s="520"/>
      <c r="E268" s="520"/>
      <c r="F268" s="412">
        <v>6</v>
      </c>
      <c r="G268" s="404" t="s">
        <v>824</v>
      </c>
      <c r="H268" s="405" t="s">
        <v>825</v>
      </c>
      <c r="I268" s="419"/>
      <c r="J268" s="419"/>
      <c r="K268" s="523"/>
    </row>
    <row r="269" spans="2:11" ht="81">
      <c r="B269" s="517"/>
      <c r="C269" s="520"/>
      <c r="D269" s="520"/>
      <c r="E269" s="520"/>
      <c r="F269" s="412">
        <v>7</v>
      </c>
      <c r="G269" s="404" t="s">
        <v>750</v>
      </c>
      <c r="H269" s="405" t="s">
        <v>826</v>
      </c>
      <c r="I269" s="419"/>
      <c r="J269" s="419"/>
      <c r="K269" s="523"/>
    </row>
    <row r="270" spans="2:11" ht="27" customHeight="1">
      <c r="B270" s="517"/>
      <c r="C270" s="520"/>
      <c r="D270" s="520"/>
      <c r="E270" s="520"/>
      <c r="F270" s="412">
        <v>8</v>
      </c>
      <c r="G270" s="404" t="s">
        <v>827</v>
      </c>
      <c r="H270" s="405" t="s">
        <v>828</v>
      </c>
      <c r="I270" s="419"/>
      <c r="J270" s="419"/>
      <c r="K270" s="523"/>
    </row>
    <row r="271" spans="2:11" ht="27" customHeight="1">
      <c r="B271" s="517"/>
      <c r="C271" s="520"/>
      <c r="D271" s="520"/>
      <c r="E271" s="520"/>
      <c r="F271" s="408" t="s">
        <v>829</v>
      </c>
      <c r="G271" s="408" t="s">
        <v>829</v>
      </c>
      <c r="H271" s="405"/>
      <c r="I271" s="419"/>
      <c r="J271" s="419"/>
      <c r="K271" s="523"/>
    </row>
    <row r="272" spans="2:11" ht="27" customHeight="1">
      <c r="B272" s="517"/>
      <c r="C272" s="520"/>
      <c r="D272" s="520"/>
      <c r="E272" s="520"/>
      <c r="F272" s="412" t="s">
        <v>830</v>
      </c>
      <c r="G272" s="404" t="s">
        <v>831</v>
      </c>
      <c r="H272" s="405" t="s">
        <v>832</v>
      </c>
      <c r="I272" s="419"/>
      <c r="J272" s="419"/>
      <c r="K272" s="523"/>
    </row>
    <row r="273" spans="2:11" ht="81">
      <c r="B273" s="517"/>
      <c r="C273" s="520"/>
      <c r="D273" s="520"/>
      <c r="E273" s="520"/>
      <c r="F273" s="412" t="s">
        <v>833</v>
      </c>
      <c r="G273" s="404" t="s">
        <v>759</v>
      </c>
      <c r="H273" s="405" t="s">
        <v>834</v>
      </c>
      <c r="I273" s="419"/>
      <c r="J273" s="419"/>
      <c r="K273" s="523"/>
    </row>
    <row r="274" spans="2:11" ht="27" customHeight="1" thickBot="1">
      <c r="B274" s="518"/>
      <c r="C274" s="521"/>
      <c r="D274" s="521"/>
      <c r="E274" s="521"/>
      <c r="F274" s="409" t="s">
        <v>835</v>
      </c>
      <c r="G274" s="410" t="s">
        <v>762</v>
      </c>
      <c r="H274" s="411" t="s">
        <v>836</v>
      </c>
      <c r="I274" s="420"/>
      <c r="J274" s="420"/>
      <c r="K274" s="524"/>
    </row>
  </sheetData>
  <mergeCells count="179">
    <mergeCell ref="K90:K98"/>
    <mergeCell ref="K58:K64"/>
    <mergeCell ref="E76:E89"/>
    <mergeCell ref="E65:E75"/>
    <mergeCell ref="E36:E43"/>
    <mergeCell ref="D21:D26"/>
    <mergeCell ref="E21:E26"/>
    <mergeCell ref="K21:K26"/>
    <mergeCell ref="B36:B43"/>
    <mergeCell ref="B27:B30"/>
    <mergeCell ref="D27:D30"/>
    <mergeCell ref="E27:E30"/>
    <mergeCell ref="K27:K30"/>
    <mergeCell ref="C27:C30"/>
    <mergeCell ref="B31:B35"/>
    <mergeCell ref="B133:B136"/>
    <mergeCell ref="C133:C136"/>
    <mergeCell ref="B58:B64"/>
    <mergeCell ref="C58:C64"/>
    <mergeCell ref="K115:K132"/>
    <mergeCell ref="K108:K114"/>
    <mergeCell ref="E58:E64"/>
    <mergeCell ref="E90:E98"/>
    <mergeCell ref="C115:C132"/>
    <mergeCell ref="D115:D132"/>
    <mergeCell ref="E115:E132"/>
    <mergeCell ref="B99:B107"/>
    <mergeCell ref="C99:C107"/>
    <mergeCell ref="K44:K51"/>
    <mergeCell ref="K52:K57"/>
    <mergeCell ref="E99:E107"/>
    <mergeCell ref="K99:K107"/>
    <mergeCell ref="K161:K163"/>
    <mergeCell ref="K158:K160"/>
    <mergeCell ref="E158:E160"/>
    <mergeCell ref="D158:D160"/>
    <mergeCell ref="K155:K157"/>
    <mergeCell ref="K149:K154"/>
    <mergeCell ref="D133:D136"/>
    <mergeCell ref="E133:E136"/>
    <mergeCell ref="K133:K136"/>
    <mergeCell ref="E149:E154"/>
    <mergeCell ref="E155:E157"/>
    <mergeCell ref="D155:D157"/>
    <mergeCell ref="B2:K2"/>
    <mergeCell ref="B149:B154"/>
    <mergeCell ref="C149:C154"/>
    <mergeCell ref="D149:D154"/>
    <mergeCell ref="B5:B8"/>
    <mergeCell ref="C5:C8"/>
    <mergeCell ref="D5:D8"/>
    <mergeCell ref="B16:B20"/>
    <mergeCell ref="C16:C20"/>
    <mergeCell ref="D16:D20"/>
    <mergeCell ref="E5:E8"/>
    <mergeCell ref="K5:K8"/>
    <mergeCell ref="K36:K43"/>
    <mergeCell ref="B9:B15"/>
    <mergeCell ref="K9:K15"/>
    <mergeCell ref="E16:E20"/>
    <mergeCell ref="K65:K75"/>
    <mergeCell ref="B108:B114"/>
    <mergeCell ref="C108:C114"/>
    <mergeCell ref="D99:D107"/>
    <mergeCell ref="D36:D43"/>
    <mergeCell ref="B44:B51"/>
    <mergeCell ref="C44:C51"/>
    <mergeCell ref="D44:D51"/>
    <mergeCell ref="B158:B160"/>
    <mergeCell ref="E161:E163"/>
    <mergeCell ref="B161:B163"/>
    <mergeCell ref="C161:C163"/>
    <mergeCell ref="D161:D163"/>
    <mergeCell ref="C158:C160"/>
    <mergeCell ref="B155:B157"/>
    <mergeCell ref="C155:C157"/>
    <mergeCell ref="B90:B98"/>
    <mergeCell ref="C90:C98"/>
    <mergeCell ref="D90:D98"/>
    <mergeCell ref="B137:B148"/>
    <mergeCell ref="C137:C148"/>
    <mergeCell ref="D137:D148"/>
    <mergeCell ref="E137:E148"/>
    <mergeCell ref="D108:D114"/>
    <mergeCell ref="E108:E114"/>
    <mergeCell ref="B115:B132"/>
    <mergeCell ref="E9:E15"/>
    <mergeCell ref="C76:C89"/>
    <mergeCell ref="D76:D89"/>
    <mergeCell ref="B65:B75"/>
    <mergeCell ref="C65:C75"/>
    <mergeCell ref="D65:D75"/>
    <mergeCell ref="K76:K89"/>
    <mergeCell ref="K31:K35"/>
    <mergeCell ref="C9:C15"/>
    <mergeCell ref="D9:D15"/>
    <mergeCell ref="E31:E35"/>
    <mergeCell ref="D31:D35"/>
    <mergeCell ref="C31:C35"/>
    <mergeCell ref="D58:D64"/>
    <mergeCell ref="C52:C57"/>
    <mergeCell ref="D52:D57"/>
    <mergeCell ref="E52:E57"/>
    <mergeCell ref="E44:E51"/>
    <mergeCell ref="C36:C43"/>
    <mergeCell ref="B76:B89"/>
    <mergeCell ref="B52:B57"/>
    <mergeCell ref="K16:K20"/>
    <mergeCell ref="B21:B26"/>
    <mergeCell ref="C21:C26"/>
    <mergeCell ref="B164:B175"/>
    <mergeCell ref="C164:C175"/>
    <mergeCell ref="D164:D175"/>
    <mergeCell ref="E164:E175"/>
    <mergeCell ref="K164:K175"/>
    <mergeCell ref="I168:I175"/>
    <mergeCell ref="B176:B178"/>
    <mergeCell ref="C176:C178"/>
    <mergeCell ref="D176:D178"/>
    <mergeCell ref="E176:E178"/>
    <mergeCell ref="K176:K178"/>
    <mergeCell ref="B179:B186"/>
    <mergeCell ref="C179:C186"/>
    <mergeCell ref="D179:D186"/>
    <mergeCell ref="E179:E186"/>
    <mergeCell ref="K179:K186"/>
    <mergeCell ref="I182:I186"/>
    <mergeCell ref="B187:B201"/>
    <mergeCell ref="C187:C201"/>
    <mergeCell ref="D187:D201"/>
    <mergeCell ref="E187:E201"/>
    <mergeCell ref="I187:I188"/>
    <mergeCell ref="K187:K201"/>
    <mergeCell ref="I189:I201"/>
    <mergeCell ref="B247:B261"/>
    <mergeCell ref="C247:C261"/>
    <mergeCell ref="D247:D261"/>
    <mergeCell ref="E247:E261"/>
    <mergeCell ref="I247:I248"/>
    <mergeCell ref="K247:K261"/>
    <mergeCell ref="I249:I261"/>
    <mergeCell ref="B202:B216"/>
    <mergeCell ref="C202:C216"/>
    <mergeCell ref="D202:D216"/>
    <mergeCell ref="E202:E216"/>
    <mergeCell ref="I202:I203"/>
    <mergeCell ref="K202:K216"/>
    <mergeCell ref="I204:I216"/>
    <mergeCell ref="B217:B231"/>
    <mergeCell ref="C217:C231"/>
    <mergeCell ref="D217:D231"/>
    <mergeCell ref="E217:E231"/>
    <mergeCell ref="I217:I218"/>
    <mergeCell ref="K217:K231"/>
    <mergeCell ref="I219:I231"/>
    <mergeCell ref="B262:B274"/>
    <mergeCell ref="C262:C274"/>
    <mergeCell ref="D262:D274"/>
    <mergeCell ref="E262:E274"/>
    <mergeCell ref="K262:K274"/>
    <mergeCell ref="J168:J175"/>
    <mergeCell ref="J182:J186"/>
    <mergeCell ref="J187:J188"/>
    <mergeCell ref="J189:J201"/>
    <mergeCell ref="J202:J203"/>
    <mergeCell ref="J204:J216"/>
    <mergeCell ref="J217:J218"/>
    <mergeCell ref="J219:J231"/>
    <mergeCell ref="J232:J233"/>
    <mergeCell ref="J234:J246"/>
    <mergeCell ref="J247:J248"/>
    <mergeCell ref="J249:J261"/>
    <mergeCell ref="B232:B246"/>
    <mergeCell ref="C232:C246"/>
    <mergeCell ref="D232:D246"/>
    <mergeCell ref="E232:E246"/>
    <mergeCell ref="I232:I233"/>
    <mergeCell ref="K232:K246"/>
    <mergeCell ref="I234:I246"/>
  </mergeCells>
  <phoneticPr fontId="2" type="noConversion"/>
  <pageMargins left="0.7" right="0.7" top="0.75" bottom="0.75" header="0.3" footer="0.3"/>
  <pageSetup paperSize="9" scale="34" fitToWidth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B2:K93"/>
  <sheetViews>
    <sheetView showGridLines="0" topLeftCell="A45" zoomScale="85" zoomScaleNormal="85" workbookViewId="0">
      <selection activeCell="G85" sqref="G85"/>
    </sheetView>
  </sheetViews>
  <sheetFormatPr defaultColWidth="8.88671875" defaultRowHeight="13.5"/>
  <cols>
    <col min="1" max="1" width="2" style="51" customWidth="1"/>
    <col min="2" max="2" width="20.88671875" style="51" bestFit="1" customWidth="1"/>
    <col min="3" max="3" width="26.88671875" style="51" bestFit="1" customWidth="1"/>
    <col min="4" max="4" width="22.109375" style="59" customWidth="1"/>
    <col min="5" max="5" width="11" style="59" customWidth="1"/>
    <col min="6" max="6" width="7.88671875" style="51" customWidth="1"/>
    <col min="7" max="7" width="35.109375" style="51" bestFit="1" customWidth="1"/>
    <col min="8" max="9" width="9.5546875" style="51" customWidth="1"/>
    <col min="10" max="10" width="14.109375" style="51" bestFit="1" customWidth="1"/>
    <col min="11" max="11" width="36" style="51" customWidth="1"/>
    <col min="12" max="16384" width="8.88671875" style="51"/>
  </cols>
  <sheetData>
    <row r="2" spans="2:10" ht="43.9" customHeight="1">
      <c r="B2" s="513" t="s">
        <v>45</v>
      </c>
      <c r="C2" s="572"/>
      <c r="D2" s="572"/>
      <c r="E2" s="572"/>
      <c r="F2" s="572"/>
      <c r="G2" s="572"/>
      <c r="H2" s="572"/>
      <c r="I2" s="572"/>
      <c r="J2" s="514"/>
    </row>
    <row r="3" spans="2:10" ht="12" customHeight="1" thickBot="1">
      <c r="B3" s="42"/>
      <c r="C3" s="42"/>
      <c r="D3" s="57"/>
      <c r="E3" s="57"/>
      <c r="F3" s="58"/>
      <c r="G3" s="58"/>
      <c r="H3" s="58"/>
      <c r="I3" s="58"/>
      <c r="J3" s="58"/>
    </row>
    <row r="4" spans="2:10" ht="47.45" customHeight="1" thickBot="1">
      <c r="B4" s="292" t="s">
        <v>524</v>
      </c>
      <c r="C4" s="293" t="s">
        <v>512</v>
      </c>
      <c r="D4" s="293" t="s">
        <v>525</v>
      </c>
      <c r="E4" s="293" t="s">
        <v>527</v>
      </c>
      <c r="F4" s="293" t="s">
        <v>526</v>
      </c>
      <c r="G4" s="293" t="s">
        <v>523</v>
      </c>
      <c r="H4" s="293" t="s">
        <v>561</v>
      </c>
      <c r="I4" s="293" t="s">
        <v>722</v>
      </c>
      <c r="J4" s="294" t="s">
        <v>13</v>
      </c>
    </row>
    <row r="5" spans="2:10" ht="14.25" hidden="1" thickBot="1">
      <c r="B5" s="561" t="s">
        <v>548</v>
      </c>
      <c r="C5" s="564" t="s">
        <v>513</v>
      </c>
      <c r="D5" s="296" t="s">
        <v>469</v>
      </c>
      <c r="E5" s="299" t="s">
        <v>514</v>
      </c>
      <c r="F5" s="299">
        <v>14</v>
      </c>
      <c r="G5" s="296" t="s">
        <v>515</v>
      </c>
      <c r="H5" s="320"/>
      <c r="I5" s="320"/>
      <c r="J5" s="522"/>
    </row>
    <row r="6" spans="2:10" ht="14.25" hidden="1" thickBot="1">
      <c r="B6" s="562"/>
      <c r="C6" s="565"/>
      <c r="D6" s="296" t="s">
        <v>396</v>
      </c>
      <c r="E6" s="299" t="s">
        <v>514</v>
      </c>
      <c r="F6" s="299"/>
      <c r="G6" s="296"/>
      <c r="H6" s="300"/>
      <c r="I6" s="300"/>
      <c r="J6" s="523"/>
    </row>
    <row r="7" spans="2:10" ht="14.25" hidden="1" thickBot="1">
      <c r="B7" s="562"/>
      <c r="C7" s="565"/>
      <c r="D7" s="296" t="s">
        <v>549</v>
      </c>
      <c r="E7" s="299" t="s">
        <v>514</v>
      </c>
      <c r="F7" s="299"/>
      <c r="G7" s="296"/>
      <c r="H7" s="300"/>
      <c r="I7" s="300"/>
      <c r="J7" s="523"/>
    </row>
    <row r="8" spans="2:10" ht="14.25" hidden="1" thickBot="1">
      <c r="B8" s="562"/>
      <c r="C8" s="566"/>
      <c r="D8" s="325" t="s">
        <v>472</v>
      </c>
      <c r="E8" s="326" t="s">
        <v>514</v>
      </c>
      <c r="F8" s="326"/>
      <c r="G8" s="325"/>
      <c r="H8" s="327"/>
      <c r="I8" s="327"/>
      <c r="J8" s="523"/>
    </row>
    <row r="9" spans="2:10" ht="14.25" hidden="1" thickBot="1">
      <c r="B9" s="562"/>
      <c r="C9" s="565" t="s">
        <v>538</v>
      </c>
      <c r="D9" s="298" t="s">
        <v>517</v>
      </c>
      <c r="E9" s="303" t="s">
        <v>518</v>
      </c>
      <c r="F9" s="303">
        <v>2</v>
      </c>
      <c r="G9" s="298"/>
      <c r="H9" s="328"/>
      <c r="I9" s="328"/>
      <c r="J9" s="523"/>
    </row>
    <row r="10" spans="2:10" ht="14.25" hidden="1" thickBot="1">
      <c r="B10" s="562"/>
      <c r="C10" s="565"/>
      <c r="D10" s="296" t="s">
        <v>519</v>
      </c>
      <c r="E10" s="299" t="s">
        <v>514</v>
      </c>
      <c r="F10" s="299"/>
      <c r="G10" s="296"/>
      <c r="H10" s="300"/>
      <c r="I10" s="300"/>
      <c r="J10" s="523"/>
    </row>
    <row r="11" spans="2:10" ht="14.25" hidden="1" thickBot="1">
      <c r="B11" s="563"/>
      <c r="C11" s="573"/>
      <c r="D11" s="297" t="s">
        <v>520</v>
      </c>
      <c r="E11" s="301" t="s">
        <v>514</v>
      </c>
      <c r="F11" s="301">
        <v>200</v>
      </c>
      <c r="G11" s="297"/>
      <c r="H11" s="302"/>
      <c r="I11" s="302"/>
      <c r="J11" s="524"/>
    </row>
    <row r="12" spans="2:10" ht="14.25" hidden="1" thickBot="1">
      <c r="B12" s="574" t="s">
        <v>550</v>
      </c>
      <c r="C12" s="577" t="s">
        <v>513</v>
      </c>
      <c r="D12" s="359" t="s">
        <v>469</v>
      </c>
      <c r="E12" s="363" t="s">
        <v>514</v>
      </c>
      <c r="F12" s="365">
        <v>14</v>
      </c>
      <c r="G12" s="359" t="s">
        <v>515</v>
      </c>
      <c r="H12" s="366"/>
      <c r="I12" s="366"/>
      <c r="J12" s="522"/>
    </row>
    <row r="13" spans="2:10" ht="14.25" hidden="1" thickBot="1">
      <c r="B13" s="575"/>
      <c r="C13" s="578"/>
      <c r="D13" s="367" t="s">
        <v>601</v>
      </c>
      <c r="E13" s="363" t="s">
        <v>514</v>
      </c>
      <c r="F13" s="363"/>
      <c r="G13" s="361" t="s">
        <v>633</v>
      </c>
      <c r="H13" s="366"/>
      <c r="I13" s="366"/>
      <c r="J13" s="523"/>
    </row>
    <row r="14" spans="2:10" ht="14.25" hidden="1" thickBot="1">
      <c r="B14" s="575"/>
      <c r="C14" s="578"/>
      <c r="D14" s="360" t="s">
        <v>649</v>
      </c>
      <c r="E14" s="362" t="s">
        <v>514</v>
      </c>
      <c r="F14" s="362"/>
      <c r="G14" s="361" t="s">
        <v>634</v>
      </c>
      <c r="H14" s="368"/>
      <c r="I14" s="368"/>
      <c r="J14" s="523"/>
    </row>
    <row r="15" spans="2:10" ht="14.25" hidden="1" thickBot="1">
      <c r="B15" s="575"/>
      <c r="C15" s="578"/>
      <c r="D15" s="360" t="s">
        <v>396</v>
      </c>
      <c r="E15" s="362" t="s">
        <v>514</v>
      </c>
      <c r="F15" s="368"/>
      <c r="G15" s="369"/>
      <c r="H15" s="368"/>
      <c r="I15" s="368"/>
      <c r="J15" s="523"/>
    </row>
    <row r="16" spans="2:10" ht="14.25" hidden="1" thickBot="1">
      <c r="B16" s="575"/>
      <c r="C16" s="578"/>
      <c r="D16" s="360" t="s">
        <v>395</v>
      </c>
      <c r="E16" s="362" t="s">
        <v>514</v>
      </c>
      <c r="F16" s="362"/>
      <c r="G16" s="360"/>
      <c r="H16" s="368"/>
      <c r="I16" s="368"/>
      <c r="J16" s="523"/>
    </row>
    <row r="17" spans="2:10" ht="14.25" hidden="1" thickBot="1">
      <c r="B17" s="575"/>
      <c r="C17" s="578"/>
      <c r="D17" s="360" t="s">
        <v>480</v>
      </c>
      <c r="E17" s="362" t="s">
        <v>521</v>
      </c>
      <c r="F17" s="362"/>
      <c r="G17" s="360" t="s">
        <v>522</v>
      </c>
      <c r="H17" s="368"/>
      <c r="I17" s="368"/>
      <c r="J17" s="523"/>
    </row>
    <row r="18" spans="2:10" ht="14.25" hidden="1" thickBot="1">
      <c r="B18" s="575"/>
      <c r="C18" s="578"/>
      <c r="D18" s="360" t="s">
        <v>472</v>
      </c>
      <c r="E18" s="364" t="s">
        <v>514</v>
      </c>
      <c r="F18" s="362"/>
      <c r="G18" s="360"/>
      <c r="H18" s="370"/>
      <c r="I18" s="370"/>
      <c r="J18" s="523"/>
    </row>
    <row r="19" spans="2:10">
      <c r="B19" s="561" t="s">
        <v>677</v>
      </c>
      <c r="C19" s="564" t="s">
        <v>513</v>
      </c>
      <c r="D19" s="323" t="s">
        <v>469</v>
      </c>
      <c r="E19" s="303" t="s">
        <v>514</v>
      </c>
      <c r="F19" s="321">
        <v>14</v>
      </c>
      <c r="G19" s="323" t="s">
        <v>515</v>
      </c>
      <c r="H19" s="328"/>
      <c r="I19" s="328"/>
      <c r="J19" s="522"/>
    </row>
    <row r="20" spans="2:10">
      <c r="B20" s="562"/>
      <c r="C20" s="565"/>
      <c r="D20" s="298" t="s">
        <v>601</v>
      </c>
      <c r="E20" s="303" t="s">
        <v>514</v>
      </c>
      <c r="F20" s="303"/>
      <c r="G20" s="349" t="s">
        <v>633</v>
      </c>
      <c r="H20" s="328"/>
      <c r="I20" s="328"/>
      <c r="J20" s="523"/>
    </row>
    <row r="21" spans="2:10">
      <c r="B21" s="562"/>
      <c r="C21" s="565"/>
      <c r="D21" s="296" t="s">
        <v>649</v>
      </c>
      <c r="E21" s="299" t="s">
        <v>514</v>
      </c>
      <c r="F21" s="299"/>
      <c r="G21" s="349" t="s">
        <v>634</v>
      </c>
      <c r="H21" s="300"/>
      <c r="I21" s="300"/>
      <c r="J21" s="523"/>
    </row>
    <row r="22" spans="2:10">
      <c r="B22" s="562"/>
      <c r="C22" s="565"/>
      <c r="D22" s="296" t="s">
        <v>685</v>
      </c>
      <c r="E22" s="299" t="s">
        <v>514</v>
      </c>
      <c r="F22" s="299"/>
      <c r="G22" s="349" t="s">
        <v>686</v>
      </c>
      <c r="H22" s="300"/>
      <c r="I22" s="300"/>
      <c r="J22" s="523"/>
    </row>
    <row r="23" spans="2:10">
      <c r="B23" s="562"/>
      <c r="C23" s="565"/>
      <c r="D23" s="296" t="s">
        <v>683</v>
      </c>
      <c r="E23" s="299" t="s">
        <v>514</v>
      </c>
      <c r="F23" s="299"/>
      <c r="G23" s="296" t="s">
        <v>701</v>
      </c>
      <c r="H23" s="300"/>
      <c r="I23" s="300"/>
      <c r="J23" s="523"/>
    </row>
    <row r="24" spans="2:10">
      <c r="B24" s="562"/>
      <c r="C24" s="565"/>
      <c r="D24" s="296" t="s">
        <v>395</v>
      </c>
      <c r="E24" s="299" t="s">
        <v>514</v>
      </c>
      <c r="F24" s="299"/>
      <c r="G24" s="296" t="s">
        <v>703</v>
      </c>
      <c r="H24" s="300"/>
      <c r="I24" s="300"/>
      <c r="J24" s="523"/>
    </row>
    <row r="25" spans="2:10">
      <c r="B25" s="562"/>
      <c r="C25" s="565"/>
      <c r="D25" s="296" t="s">
        <v>480</v>
      </c>
      <c r="E25" s="299" t="s">
        <v>521</v>
      </c>
      <c r="F25" s="299"/>
      <c r="G25" s="296" t="s">
        <v>522</v>
      </c>
      <c r="H25" s="300"/>
      <c r="I25" s="300"/>
      <c r="J25" s="523"/>
    </row>
    <row r="26" spans="2:10" ht="14.25" thickBot="1">
      <c r="B26" s="562"/>
      <c r="C26" s="565"/>
      <c r="D26" s="296" t="s">
        <v>472</v>
      </c>
      <c r="E26" s="301" t="s">
        <v>514</v>
      </c>
      <c r="F26" s="301"/>
      <c r="G26" s="297" t="s">
        <v>704</v>
      </c>
      <c r="H26" s="302"/>
      <c r="I26" s="302"/>
      <c r="J26" s="523"/>
    </row>
    <row r="27" spans="2:10" ht="15.6" customHeight="1">
      <c r="B27" s="561" t="s">
        <v>679</v>
      </c>
      <c r="C27" s="564" t="s">
        <v>513</v>
      </c>
      <c r="D27" s="323" t="s">
        <v>469</v>
      </c>
      <c r="E27" s="303" t="s">
        <v>514</v>
      </c>
      <c r="F27" s="303">
        <v>14</v>
      </c>
      <c r="G27" s="298" t="s">
        <v>515</v>
      </c>
      <c r="H27" s="328"/>
      <c r="I27" s="328"/>
      <c r="J27" s="570"/>
    </row>
    <row r="28" spans="2:10">
      <c r="B28" s="562"/>
      <c r="C28" s="565"/>
      <c r="D28" s="298" t="s">
        <v>601</v>
      </c>
      <c r="E28" s="303" t="s">
        <v>514</v>
      </c>
      <c r="F28" s="303"/>
      <c r="G28" s="349" t="s">
        <v>633</v>
      </c>
      <c r="H28" s="328"/>
      <c r="I28" s="328"/>
      <c r="J28" s="571"/>
    </row>
    <row r="29" spans="2:10">
      <c r="B29" s="562"/>
      <c r="C29" s="565"/>
      <c r="D29" s="296" t="s">
        <v>649</v>
      </c>
      <c r="E29" s="299" t="s">
        <v>514</v>
      </c>
      <c r="F29" s="299"/>
      <c r="G29" s="349" t="s">
        <v>634</v>
      </c>
      <c r="H29" s="300"/>
      <c r="I29" s="300"/>
      <c r="J29" s="571"/>
    </row>
    <row r="30" spans="2:10">
      <c r="B30" s="562"/>
      <c r="C30" s="565"/>
      <c r="D30" s="296" t="s">
        <v>681</v>
      </c>
      <c r="E30" s="299" t="s">
        <v>514</v>
      </c>
      <c r="F30" s="300"/>
      <c r="G30" s="319" t="s">
        <v>705</v>
      </c>
      <c r="H30" s="300"/>
      <c r="I30" s="380"/>
      <c r="J30" s="571"/>
    </row>
    <row r="31" spans="2:10" ht="14.25" thickBot="1">
      <c r="B31" s="562"/>
      <c r="C31" s="565"/>
      <c r="D31" s="296" t="s">
        <v>472</v>
      </c>
      <c r="E31" s="301" t="s">
        <v>514</v>
      </c>
      <c r="F31" s="301"/>
      <c r="G31" s="297" t="s">
        <v>704</v>
      </c>
      <c r="H31" s="302"/>
      <c r="I31" s="382"/>
      <c r="J31" s="571"/>
    </row>
    <row r="32" spans="2:10" ht="15.6" customHeight="1">
      <c r="B32" s="561" t="s">
        <v>678</v>
      </c>
      <c r="C32" s="564" t="s">
        <v>513</v>
      </c>
      <c r="D32" s="323" t="s">
        <v>469</v>
      </c>
      <c r="E32" s="303" t="s">
        <v>514</v>
      </c>
      <c r="F32" s="303">
        <v>14</v>
      </c>
      <c r="G32" s="298" t="s">
        <v>515</v>
      </c>
      <c r="H32" s="328"/>
      <c r="I32" s="383"/>
      <c r="J32" s="570"/>
    </row>
    <row r="33" spans="2:10">
      <c r="B33" s="562"/>
      <c r="C33" s="565"/>
      <c r="D33" s="298" t="s">
        <v>601</v>
      </c>
      <c r="E33" s="303" t="s">
        <v>514</v>
      </c>
      <c r="F33" s="303"/>
      <c r="G33" s="349" t="s">
        <v>633</v>
      </c>
      <c r="H33" s="328"/>
      <c r="I33" s="383"/>
      <c r="J33" s="571"/>
    </row>
    <row r="34" spans="2:10">
      <c r="B34" s="562"/>
      <c r="C34" s="565"/>
      <c r="D34" s="296" t="s">
        <v>649</v>
      </c>
      <c r="E34" s="299" t="s">
        <v>514</v>
      </c>
      <c r="F34" s="299"/>
      <c r="G34" s="349" t="s">
        <v>634</v>
      </c>
      <c r="H34" s="300"/>
      <c r="I34" s="380"/>
      <c r="J34" s="571"/>
    </row>
    <row r="35" spans="2:10">
      <c r="B35" s="562"/>
      <c r="C35" s="565"/>
      <c r="D35" s="296" t="s">
        <v>684</v>
      </c>
      <c r="E35" s="299" t="s">
        <v>514</v>
      </c>
      <c r="F35" s="300"/>
      <c r="G35" s="319" t="s">
        <v>701</v>
      </c>
      <c r="H35" s="300"/>
      <c r="I35" s="380"/>
      <c r="J35" s="571"/>
    </row>
    <row r="36" spans="2:10" ht="14.25" thickBot="1">
      <c r="B36" s="562"/>
      <c r="C36" s="565"/>
      <c r="D36" s="296" t="s">
        <v>472</v>
      </c>
      <c r="E36" s="299" t="s">
        <v>514</v>
      </c>
      <c r="F36" s="299"/>
      <c r="G36" s="296" t="s">
        <v>704</v>
      </c>
      <c r="H36" s="300"/>
      <c r="I36" s="380"/>
      <c r="J36" s="571"/>
    </row>
    <row r="37" spans="2:10">
      <c r="B37" s="561" t="s">
        <v>596</v>
      </c>
      <c r="C37" s="564" t="s">
        <v>513</v>
      </c>
      <c r="D37" s="323" t="s">
        <v>469</v>
      </c>
      <c r="E37" s="321" t="s">
        <v>514</v>
      </c>
      <c r="F37" s="321">
        <v>14</v>
      </c>
      <c r="G37" s="323" t="s">
        <v>515</v>
      </c>
      <c r="H37" s="323"/>
      <c r="I37" s="323"/>
      <c r="J37" s="522"/>
    </row>
    <row r="38" spans="2:10">
      <c r="B38" s="562"/>
      <c r="C38" s="565"/>
      <c r="D38" s="296" t="s">
        <v>396</v>
      </c>
      <c r="E38" s="299" t="s">
        <v>514</v>
      </c>
      <c r="F38" s="299"/>
      <c r="G38" s="296" t="s">
        <v>686</v>
      </c>
      <c r="H38" s="296"/>
      <c r="I38" s="296"/>
      <c r="J38" s="523"/>
    </row>
    <row r="39" spans="2:10">
      <c r="B39" s="562"/>
      <c r="C39" s="565"/>
      <c r="D39" s="339" t="s">
        <v>599</v>
      </c>
      <c r="E39" s="299" t="s">
        <v>514</v>
      </c>
      <c r="F39" s="340"/>
      <c r="G39" s="339" t="s">
        <v>703</v>
      </c>
      <c r="H39" s="339"/>
      <c r="I39" s="339"/>
      <c r="J39" s="523"/>
    </row>
    <row r="40" spans="2:10">
      <c r="B40" s="562"/>
      <c r="C40" s="566"/>
      <c r="D40" s="357" t="s">
        <v>472</v>
      </c>
      <c r="E40" s="358" t="s">
        <v>514</v>
      </c>
      <c r="F40" s="358"/>
      <c r="G40" s="357" t="s">
        <v>704</v>
      </c>
      <c r="H40" s="357"/>
      <c r="I40" s="357"/>
      <c r="J40" s="523"/>
    </row>
    <row r="41" spans="2:10">
      <c r="B41" s="562"/>
      <c r="C41" s="567" t="s">
        <v>516</v>
      </c>
      <c r="D41" s="298" t="s">
        <v>517</v>
      </c>
      <c r="E41" s="303" t="s">
        <v>518</v>
      </c>
      <c r="F41" s="303">
        <v>2</v>
      </c>
      <c r="G41" s="298"/>
      <c r="H41" s="298"/>
      <c r="I41" s="298"/>
      <c r="J41" s="523"/>
    </row>
    <row r="42" spans="2:10">
      <c r="B42" s="562"/>
      <c r="C42" s="568"/>
      <c r="D42" s="296" t="s">
        <v>519</v>
      </c>
      <c r="E42" s="299" t="s">
        <v>514</v>
      </c>
      <c r="F42" s="299"/>
      <c r="G42" s="296" t="s">
        <v>604</v>
      </c>
      <c r="H42" s="296"/>
      <c r="I42" s="296"/>
      <c r="J42" s="523"/>
    </row>
    <row r="43" spans="2:10" ht="14.25" thickBot="1">
      <c r="B43" s="563"/>
      <c r="C43" s="569"/>
      <c r="D43" s="297" t="s">
        <v>520</v>
      </c>
      <c r="E43" s="301" t="s">
        <v>514</v>
      </c>
      <c r="F43" s="301">
        <v>200</v>
      </c>
      <c r="G43" s="297" t="s">
        <v>597</v>
      </c>
      <c r="H43" s="297"/>
      <c r="I43" s="297"/>
      <c r="J43" s="524"/>
    </row>
    <row r="44" spans="2:10">
      <c r="B44" s="561" t="s">
        <v>680</v>
      </c>
      <c r="C44" s="564" t="s">
        <v>513</v>
      </c>
      <c r="D44" s="323" t="s">
        <v>469</v>
      </c>
      <c r="E44" s="321" t="s">
        <v>514</v>
      </c>
      <c r="F44" s="321">
        <v>14</v>
      </c>
      <c r="G44" s="323" t="s">
        <v>515</v>
      </c>
      <c r="H44" s="323"/>
      <c r="I44" s="323"/>
      <c r="J44" s="522"/>
    </row>
    <row r="45" spans="2:10">
      <c r="B45" s="562"/>
      <c r="C45" s="565"/>
      <c r="D45" s="296" t="s">
        <v>681</v>
      </c>
      <c r="E45" s="299" t="s">
        <v>514</v>
      </c>
      <c r="F45" s="299"/>
      <c r="G45" s="296" t="s">
        <v>705</v>
      </c>
      <c r="H45" s="296"/>
      <c r="I45" s="296"/>
      <c r="J45" s="523"/>
    </row>
    <row r="46" spans="2:10">
      <c r="B46" s="562"/>
      <c r="C46" s="566"/>
      <c r="D46" s="357" t="s">
        <v>472</v>
      </c>
      <c r="E46" s="358" t="s">
        <v>514</v>
      </c>
      <c r="F46" s="358"/>
      <c r="G46" s="357" t="s">
        <v>704</v>
      </c>
      <c r="H46" s="357"/>
      <c r="I46" s="357"/>
      <c r="J46" s="523"/>
    </row>
    <row r="47" spans="2:10">
      <c r="B47" s="562"/>
      <c r="C47" s="567" t="s">
        <v>516</v>
      </c>
      <c r="D47" s="298" t="s">
        <v>517</v>
      </c>
      <c r="E47" s="303" t="s">
        <v>518</v>
      </c>
      <c r="F47" s="303">
        <v>2</v>
      </c>
      <c r="G47" s="298"/>
      <c r="H47" s="298"/>
      <c r="I47" s="298"/>
      <c r="J47" s="523"/>
    </row>
    <row r="48" spans="2:10">
      <c r="B48" s="562"/>
      <c r="C48" s="568"/>
      <c r="D48" s="296" t="s">
        <v>519</v>
      </c>
      <c r="E48" s="299" t="s">
        <v>514</v>
      </c>
      <c r="F48" s="299"/>
      <c r="G48" s="296" t="s">
        <v>604</v>
      </c>
      <c r="H48" s="296"/>
      <c r="I48" s="296"/>
      <c r="J48" s="523"/>
    </row>
    <row r="49" spans="2:11" ht="14.25" thickBot="1">
      <c r="B49" s="563"/>
      <c r="C49" s="569"/>
      <c r="D49" s="297" t="s">
        <v>520</v>
      </c>
      <c r="E49" s="301" t="s">
        <v>514</v>
      </c>
      <c r="F49" s="301">
        <v>200</v>
      </c>
      <c r="G49" s="297" t="s">
        <v>597</v>
      </c>
      <c r="H49" s="297"/>
      <c r="I49" s="297"/>
      <c r="J49" s="524"/>
    </row>
    <row r="50" spans="2:11">
      <c r="B50" s="561" t="s">
        <v>676</v>
      </c>
      <c r="C50" s="564" t="s">
        <v>513</v>
      </c>
      <c r="D50" s="323" t="s">
        <v>469</v>
      </c>
      <c r="E50" s="321" t="s">
        <v>514</v>
      </c>
      <c r="F50" s="321">
        <v>14</v>
      </c>
      <c r="G50" s="323" t="s">
        <v>706</v>
      </c>
      <c r="H50" s="323"/>
      <c r="I50" s="323"/>
      <c r="J50" s="522"/>
    </row>
    <row r="51" spans="2:11">
      <c r="B51" s="562"/>
      <c r="C51" s="565"/>
      <c r="D51" s="296" t="s">
        <v>682</v>
      </c>
      <c r="E51" s="299" t="s">
        <v>514</v>
      </c>
      <c r="F51" s="299"/>
      <c r="G51" s="296" t="s">
        <v>701</v>
      </c>
      <c r="H51" s="296"/>
      <c r="I51" s="296"/>
      <c r="J51" s="523"/>
    </row>
    <row r="52" spans="2:11">
      <c r="B52" s="562"/>
      <c r="C52" s="566"/>
      <c r="D52" s="357" t="s">
        <v>472</v>
      </c>
      <c r="E52" s="358" t="s">
        <v>514</v>
      </c>
      <c r="F52" s="358"/>
      <c r="G52" s="357" t="s">
        <v>704</v>
      </c>
      <c r="H52" s="357"/>
      <c r="I52" s="357"/>
      <c r="J52" s="523"/>
    </row>
    <row r="53" spans="2:11">
      <c r="B53" s="562"/>
      <c r="C53" s="567" t="s">
        <v>516</v>
      </c>
      <c r="D53" s="298" t="s">
        <v>517</v>
      </c>
      <c r="E53" s="303" t="s">
        <v>518</v>
      </c>
      <c r="F53" s="303">
        <v>2</v>
      </c>
      <c r="G53" s="298"/>
      <c r="H53" s="298"/>
      <c r="I53" s="298"/>
      <c r="J53" s="523"/>
    </row>
    <row r="54" spans="2:11">
      <c r="B54" s="562"/>
      <c r="C54" s="568"/>
      <c r="D54" s="296" t="s">
        <v>519</v>
      </c>
      <c r="E54" s="299" t="s">
        <v>514</v>
      </c>
      <c r="F54" s="299"/>
      <c r="G54" s="296" t="s">
        <v>604</v>
      </c>
      <c r="H54" s="296"/>
      <c r="I54" s="296"/>
      <c r="J54" s="523"/>
    </row>
    <row r="55" spans="2:11" ht="14.25" thickBot="1">
      <c r="B55" s="563"/>
      <c r="C55" s="569"/>
      <c r="D55" s="297" t="s">
        <v>520</v>
      </c>
      <c r="E55" s="301" t="s">
        <v>514</v>
      </c>
      <c r="F55" s="301">
        <v>200</v>
      </c>
      <c r="G55" s="297" t="s">
        <v>597</v>
      </c>
      <c r="H55" s="297"/>
      <c r="I55" s="297"/>
      <c r="J55" s="524"/>
    </row>
    <row r="56" spans="2:11">
      <c r="B56" s="574" t="s">
        <v>556</v>
      </c>
      <c r="C56" s="577" t="s">
        <v>513</v>
      </c>
      <c r="D56" s="359" t="s">
        <v>469</v>
      </c>
      <c r="E56" s="365" t="s">
        <v>514</v>
      </c>
      <c r="F56" s="365"/>
      <c r="G56" s="359" t="s">
        <v>706</v>
      </c>
      <c r="H56" s="384"/>
      <c r="I56" s="384"/>
      <c r="J56" s="522"/>
    </row>
    <row r="57" spans="2:11">
      <c r="B57" s="575"/>
      <c r="C57" s="578"/>
      <c r="D57" s="360" t="s">
        <v>396</v>
      </c>
      <c r="E57" s="362" t="s">
        <v>514</v>
      </c>
      <c r="F57" s="362"/>
      <c r="G57" s="360" t="s">
        <v>686</v>
      </c>
      <c r="H57" s="368"/>
      <c r="I57" s="368"/>
      <c r="J57" s="523"/>
    </row>
    <row r="58" spans="2:11">
      <c r="B58" s="575"/>
      <c r="C58" s="578"/>
      <c r="D58" s="367" t="s">
        <v>601</v>
      </c>
      <c r="E58" s="363" t="s">
        <v>514</v>
      </c>
      <c r="F58" s="363"/>
      <c r="G58" s="361" t="s">
        <v>633</v>
      </c>
      <c r="H58" s="366"/>
      <c r="I58" s="366"/>
      <c r="J58" s="523"/>
    </row>
    <row r="59" spans="2:11">
      <c r="B59" s="575"/>
      <c r="C59" s="578"/>
      <c r="D59" s="360" t="s">
        <v>590</v>
      </c>
      <c r="E59" s="362" t="s">
        <v>514</v>
      </c>
      <c r="F59" s="362"/>
      <c r="G59" s="361" t="s">
        <v>634</v>
      </c>
      <c r="H59" s="368"/>
      <c r="I59" s="368"/>
      <c r="J59" s="523"/>
    </row>
    <row r="60" spans="2:11">
      <c r="B60" s="575"/>
      <c r="C60" s="578"/>
      <c r="D60" s="360" t="s">
        <v>591</v>
      </c>
      <c r="E60" s="362" t="s">
        <v>514</v>
      </c>
      <c r="F60" s="362"/>
      <c r="G60" s="360" t="s">
        <v>702</v>
      </c>
      <c r="H60" s="368"/>
      <c r="I60" s="368"/>
      <c r="J60" s="523"/>
    </row>
    <row r="61" spans="2:11">
      <c r="B61" s="575"/>
      <c r="C61" s="578"/>
      <c r="D61" s="360" t="s">
        <v>592</v>
      </c>
      <c r="E61" s="362" t="s">
        <v>514</v>
      </c>
      <c r="F61" s="368"/>
      <c r="G61" s="369" t="s">
        <v>593</v>
      </c>
      <c r="H61" s="368"/>
      <c r="I61" s="368"/>
      <c r="J61" s="523"/>
    </row>
    <row r="62" spans="2:11" ht="175.5">
      <c r="B62" s="575"/>
      <c r="C62" s="578"/>
      <c r="D62" s="360" t="s">
        <v>594</v>
      </c>
      <c r="E62" s="362"/>
      <c r="F62" s="362"/>
      <c r="G62" s="360" t="s">
        <v>598</v>
      </c>
      <c r="H62" s="368"/>
      <c r="I62" s="368"/>
      <c r="J62" s="523"/>
      <c r="K62" s="332" t="s">
        <v>595</v>
      </c>
    </row>
    <row r="63" spans="2:11" ht="14.25" thickBot="1">
      <c r="B63" s="576"/>
      <c r="C63" s="579"/>
      <c r="D63" s="385" t="s">
        <v>472</v>
      </c>
      <c r="E63" s="364" t="s">
        <v>514</v>
      </c>
      <c r="F63" s="370"/>
      <c r="G63" s="385" t="s">
        <v>704</v>
      </c>
      <c r="H63" s="370"/>
      <c r="I63" s="370"/>
      <c r="J63" s="524"/>
    </row>
    <row r="64" spans="2:11" ht="13.5" hidden="1" customHeight="1">
      <c r="B64" s="561" t="s">
        <v>624</v>
      </c>
      <c r="C64" s="564" t="s">
        <v>513</v>
      </c>
      <c r="D64" s="296" t="s">
        <v>469</v>
      </c>
      <c r="E64" s="299" t="s">
        <v>514</v>
      </c>
      <c r="F64" s="299">
        <v>14</v>
      </c>
      <c r="G64" s="296" t="s">
        <v>515</v>
      </c>
      <c r="H64" s="320"/>
      <c r="I64" s="320"/>
      <c r="J64" s="522"/>
    </row>
    <row r="65" spans="2:10" ht="13.5" hidden="1" customHeight="1">
      <c r="B65" s="562"/>
      <c r="C65" s="565"/>
      <c r="D65" s="296" t="s">
        <v>605</v>
      </c>
      <c r="E65" s="299" t="s">
        <v>606</v>
      </c>
      <c r="F65" s="299"/>
      <c r="G65" s="296" t="s">
        <v>615</v>
      </c>
      <c r="H65" s="328"/>
      <c r="I65" s="328"/>
      <c r="J65" s="523"/>
    </row>
    <row r="66" spans="2:10" ht="13.5" hidden="1" customHeight="1">
      <c r="B66" s="562"/>
      <c r="C66" s="565"/>
      <c r="D66" s="296" t="s">
        <v>607</v>
      </c>
      <c r="E66" s="299" t="s">
        <v>606</v>
      </c>
      <c r="F66" s="299"/>
      <c r="G66" s="296" t="s">
        <v>616</v>
      </c>
      <c r="H66" s="328"/>
      <c r="I66" s="328"/>
      <c r="J66" s="523"/>
    </row>
    <row r="67" spans="2:10" ht="13.5" hidden="1" customHeight="1">
      <c r="B67" s="562"/>
      <c r="C67" s="565"/>
      <c r="D67" s="296" t="s">
        <v>608</v>
      </c>
      <c r="E67" s="299" t="s">
        <v>606</v>
      </c>
      <c r="F67" s="299">
        <v>14</v>
      </c>
      <c r="G67" s="296" t="s">
        <v>617</v>
      </c>
      <c r="H67" s="328"/>
      <c r="I67" s="328"/>
      <c r="J67" s="523"/>
    </row>
    <row r="68" spans="2:10" ht="13.5" hidden="1" customHeight="1">
      <c r="B68" s="562"/>
      <c r="C68" s="565"/>
      <c r="D68" s="296" t="s">
        <v>609</v>
      </c>
      <c r="E68" s="299" t="s">
        <v>612</v>
      </c>
      <c r="F68" s="299">
        <v>14</v>
      </c>
      <c r="G68" s="296" t="s">
        <v>618</v>
      </c>
      <c r="H68" s="328"/>
      <c r="I68" s="328"/>
      <c r="J68" s="523"/>
    </row>
    <row r="69" spans="2:10" ht="14.25" hidden="1" thickBot="1">
      <c r="B69" s="562"/>
      <c r="C69" s="565"/>
      <c r="D69" s="296" t="s">
        <v>396</v>
      </c>
      <c r="E69" s="299" t="s">
        <v>514</v>
      </c>
      <c r="F69" s="299"/>
      <c r="G69" s="296" t="s">
        <v>619</v>
      </c>
      <c r="H69" s="300"/>
      <c r="I69" s="300"/>
      <c r="J69" s="523"/>
    </row>
    <row r="70" spans="2:10" ht="14.25" hidden="1" thickBot="1">
      <c r="B70" s="562"/>
      <c r="C70" s="565"/>
      <c r="D70" s="296" t="s">
        <v>610</v>
      </c>
      <c r="E70" s="299" t="s">
        <v>611</v>
      </c>
      <c r="F70" s="299"/>
      <c r="G70" s="296" t="s">
        <v>620</v>
      </c>
      <c r="H70" s="300"/>
      <c r="I70" s="300"/>
      <c r="J70" s="523"/>
    </row>
    <row r="71" spans="2:10" ht="14.25" hidden="1" thickBot="1">
      <c r="B71" s="562"/>
      <c r="C71" s="565"/>
      <c r="D71" s="296" t="s">
        <v>614</v>
      </c>
      <c r="E71" s="299" t="s">
        <v>611</v>
      </c>
      <c r="F71" s="299"/>
      <c r="G71" s="296" t="s">
        <v>621</v>
      </c>
      <c r="H71" s="300"/>
      <c r="I71" s="300"/>
      <c r="J71" s="523"/>
    </row>
    <row r="72" spans="2:10" ht="122.25" hidden="1" thickBot="1">
      <c r="B72" s="562"/>
      <c r="C72" s="566"/>
      <c r="D72" s="325" t="s">
        <v>613</v>
      </c>
      <c r="E72" s="326" t="s">
        <v>514</v>
      </c>
      <c r="F72" s="326"/>
      <c r="G72" s="325" t="s">
        <v>622</v>
      </c>
      <c r="H72" s="327"/>
      <c r="I72" s="327"/>
      <c r="J72" s="523"/>
    </row>
    <row r="73" spans="2:10" ht="14.25" hidden="1" thickBot="1">
      <c r="B73" s="562"/>
      <c r="C73" s="565" t="s">
        <v>538</v>
      </c>
      <c r="D73" s="298" t="s">
        <v>517</v>
      </c>
      <c r="E73" s="303" t="s">
        <v>518</v>
      </c>
      <c r="F73" s="303">
        <v>2</v>
      </c>
      <c r="G73" s="298"/>
      <c r="H73" s="328"/>
      <c r="I73" s="328"/>
      <c r="J73" s="523"/>
    </row>
    <row r="74" spans="2:10" ht="14.25" hidden="1" thickBot="1">
      <c r="B74" s="562"/>
      <c r="C74" s="565"/>
      <c r="D74" s="296" t="s">
        <v>519</v>
      </c>
      <c r="E74" s="299" t="s">
        <v>514</v>
      </c>
      <c r="F74" s="299"/>
      <c r="G74" s="296"/>
      <c r="H74" s="300"/>
      <c r="I74" s="300"/>
      <c r="J74" s="523"/>
    </row>
    <row r="75" spans="2:10" ht="14.25" hidden="1" thickBot="1">
      <c r="B75" s="563"/>
      <c r="C75" s="573"/>
      <c r="D75" s="297" t="s">
        <v>520</v>
      </c>
      <c r="E75" s="301" t="s">
        <v>514</v>
      </c>
      <c r="F75" s="301">
        <v>200</v>
      </c>
      <c r="G75" s="297"/>
      <c r="H75" s="302"/>
      <c r="I75" s="302"/>
      <c r="J75" s="524"/>
    </row>
    <row r="76" spans="2:10">
      <c r="B76" s="574" t="s">
        <v>637</v>
      </c>
      <c r="C76" s="577" t="s">
        <v>513</v>
      </c>
      <c r="D76" s="359" t="s">
        <v>469</v>
      </c>
      <c r="E76" s="365" t="s">
        <v>514</v>
      </c>
      <c r="F76" s="365"/>
      <c r="G76" s="359" t="s">
        <v>706</v>
      </c>
      <c r="H76" s="384"/>
      <c r="I76" s="384"/>
      <c r="J76" s="522" t="s">
        <v>723</v>
      </c>
    </row>
    <row r="77" spans="2:10">
      <c r="B77" s="575"/>
      <c r="C77" s="578"/>
      <c r="D77" s="360" t="s">
        <v>396</v>
      </c>
      <c r="E77" s="363" t="s">
        <v>514</v>
      </c>
      <c r="F77" s="362"/>
      <c r="G77" s="360" t="s">
        <v>686</v>
      </c>
      <c r="H77" s="368"/>
      <c r="I77" s="368"/>
      <c r="J77" s="523"/>
    </row>
    <row r="78" spans="2:10">
      <c r="B78" s="575"/>
      <c r="C78" s="578"/>
      <c r="D78" s="367" t="s">
        <v>601</v>
      </c>
      <c r="E78" s="363" t="s">
        <v>514</v>
      </c>
      <c r="F78" s="363"/>
      <c r="G78" s="361" t="s">
        <v>633</v>
      </c>
      <c r="H78" s="366"/>
      <c r="I78" s="366"/>
      <c r="J78" s="523"/>
    </row>
    <row r="79" spans="2:10">
      <c r="B79" s="575"/>
      <c r="C79" s="578"/>
      <c r="D79" s="360" t="s">
        <v>638</v>
      </c>
      <c r="E79" s="362" t="s">
        <v>514</v>
      </c>
      <c r="F79" s="362"/>
      <c r="G79" s="361" t="s">
        <v>634</v>
      </c>
      <c r="H79" s="368"/>
      <c r="I79" s="368"/>
      <c r="J79" s="523"/>
    </row>
    <row r="80" spans="2:10">
      <c r="B80" s="575"/>
      <c r="C80" s="578"/>
      <c r="D80" s="360" t="s">
        <v>700</v>
      </c>
      <c r="E80" s="362" t="s">
        <v>514</v>
      </c>
      <c r="F80" s="362"/>
      <c r="G80" s="361" t="s">
        <v>701</v>
      </c>
      <c r="H80" s="368"/>
      <c r="I80" s="368"/>
      <c r="J80" s="523"/>
    </row>
    <row r="81" spans="2:10" s="48" customFormat="1">
      <c r="B81" s="575"/>
      <c r="C81" s="578"/>
      <c r="D81" s="360" t="s">
        <v>480</v>
      </c>
      <c r="E81" s="362" t="s">
        <v>521</v>
      </c>
      <c r="F81" s="362"/>
      <c r="G81" s="360" t="s">
        <v>522</v>
      </c>
      <c r="H81" s="360"/>
      <c r="I81" s="360"/>
      <c r="J81" s="523"/>
    </row>
    <row r="82" spans="2:10">
      <c r="B82" s="575"/>
      <c r="C82" s="578"/>
      <c r="D82" s="360" t="s">
        <v>644</v>
      </c>
      <c r="E82" s="362" t="s">
        <v>514</v>
      </c>
      <c r="F82" s="362"/>
      <c r="G82" s="360" t="s">
        <v>641</v>
      </c>
      <c r="H82" s="368"/>
      <c r="I82" s="368"/>
      <c r="J82" s="523"/>
    </row>
    <row r="83" spans="2:10">
      <c r="B83" s="575"/>
      <c r="C83" s="578"/>
      <c r="D83" s="360" t="s">
        <v>639</v>
      </c>
      <c r="E83" s="362" t="s">
        <v>514</v>
      </c>
      <c r="F83" s="362"/>
      <c r="G83" s="360" t="s">
        <v>575</v>
      </c>
      <c r="H83" s="368"/>
      <c r="I83" s="368"/>
      <c r="J83" s="523"/>
    </row>
    <row r="84" spans="2:10">
      <c r="B84" s="575"/>
      <c r="C84" s="578"/>
      <c r="D84" s="360" t="s">
        <v>640</v>
      </c>
      <c r="E84" s="362" t="s">
        <v>514</v>
      </c>
      <c r="F84" s="368"/>
      <c r="G84" s="369" t="s">
        <v>593</v>
      </c>
      <c r="H84" s="368"/>
      <c r="I84" s="368"/>
      <c r="J84" s="523"/>
    </row>
    <row r="85" spans="2:10">
      <c r="B85" s="575"/>
      <c r="C85" s="578"/>
      <c r="D85" s="360" t="s">
        <v>643</v>
      </c>
      <c r="E85" s="362" t="s">
        <v>514</v>
      </c>
      <c r="F85" s="368"/>
      <c r="G85" s="369" t="s">
        <v>626</v>
      </c>
      <c r="H85" s="368"/>
      <c r="I85" s="368"/>
      <c r="J85" s="523"/>
    </row>
    <row r="86" spans="2:10">
      <c r="B86" s="575"/>
      <c r="C86" s="578"/>
      <c r="D86" s="360" t="s">
        <v>708</v>
      </c>
      <c r="E86" s="362" t="s">
        <v>514</v>
      </c>
      <c r="F86" s="368"/>
      <c r="G86" s="369" t="s">
        <v>707</v>
      </c>
      <c r="H86" s="368"/>
      <c r="I86" s="368"/>
      <c r="J86" s="523"/>
    </row>
    <row r="87" spans="2:10">
      <c r="B87" s="575"/>
      <c r="C87" s="578"/>
      <c r="D87" s="360" t="s">
        <v>481</v>
      </c>
      <c r="E87" s="360" t="s">
        <v>481</v>
      </c>
      <c r="F87" s="362"/>
      <c r="G87" s="360" t="s">
        <v>481</v>
      </c>
      <c r="H87" s="368"/>
      <c r="I87" s="368"/>
      <c r="J87" s="523"/>
    </row>
    <row r="88" spans="2:10">
      <c r="B88" s="575"/>
      <c r="C88" s="578"/>
      <c r="D88" s="360" t="s">
        <v>645</v>
      </c>
      <c r="E88" s="362" t="s">
        <v>514</v>
      </c>
      <c r="F88" s="362"/>
      <c r="G88" s="360" t="s">
        <v>641</v>
      </c>
      <c r="H88" s="368"/>
      <c r="I88" s="368"/>
      <c r="J88" s="523"/>
    </row>
    <row r="89" spans="2:10">
      <c r="B89" s="575"/>
      <c r="C89" s="578"/>
      <c r="D89" s="360" t="s">
        <v>646</v>
      </c>
      <c r="E89" s="362" t="s">
        <v>514</v>
      </c>
      <c r="F89" s="362"/>
      <c r="G89" s="360" t="s">
        <v>642</v>
      </c>
      <c r="H89" s="368"/>
      <c r="I89" s="368"/>
      <c r="J89" s="523"/>
    </row>
    <row r="90" spans="2:10">
      <c r="B90" s="575"/>
      <c r="C90" s="578"/>
      <c r="D90" s="360" t="s">
        <v>647</v>
      </c>
      <c r="E90" s="362" t="s">
        <v>514</v>
      </c>
      <c r="F90" s="368"/>
      <c r="G90" s="369" t="s">
        <v>593</v>
      </c>
      <c r="H90" s="368"/>
      <c r="I90" s="368"/>
      <c r="J90" s="523"/>
    </row>
    <row r="91" spans="2:10">
      <c r="B91" s="575"/>
      <c r="C91" s="578"/>
      <c r="D91" s="360" t="s">
        <v>648</v>
      </c>
      <c r="E91" s="362" t="s">
        <v>514</v>
      </c>
      <c r="F91" s="368"/>
      <c r="G91" s="369" t="s">
        <v>626</v>
      </c>
      <c r="H91" s="368"/>
      <c r="I91" s="368"/>
      <c r="J91" s="523"/>
    </row>
    <row r="92" spans="2:10">
      <c r="B92" s="575"/>
      <c r="C92" s="578"/>
      <c r="D92" s="360" t="s">
        <v>709</v>
      </c>
      <c r="E92" s="362" t="s">
        <v>514</v>
      </c>
      <c r="F92" s="368"/>
      <c r="G92" s="369" t="s">
        <v>707</v>
      </c>
      <c r="H92" s="368"/>
      <c r="I92" s="368"/>
      <c r="J92" s="523"/>
    </row>
    <row r="93" spans="2:10" ht="14.25" thickBot="1">
      <c r="B93" s="576"/>
      <c r="C93" s="579"/>
      <c r="D93" s="385" t="s">
        <v>472</v>
      </c>
      <c r="E93" s="364" t="s">
        <v>514</v>
      </c>
      <c r="F93" s="370"/>
      <c r="G93" s="385" t="s">
        <v>704</v>
      </c>
      <c r="H93" s="370"/>
      <c r="I93" s="370"/>
      <c r="J93" s="524"/>
    </row>
  </sheetData>
  <mergeCells count="39">
    <mergeCell ref="B76:B93"/>
    <mergeCell ref="C76:C93"/>
    <mergeCell ref="J76:J93"/>
    <mergeCell ref="B64:B75"/>
    <mergeCell ref="C64:C72"/>
    <mergeCell ref="J64:J75"/>
    <mergeCell ref="C73:C75"/>
    <mergeCell ref="B12:B18"/>
    <mergeCell ref="J12:J18"/>
    <mergeCell ref="B56:B63"/>
    <mergeCell ref="C56:C63"/>
    <mergeCell ref="C12:C18"/>
    <mergeCell ref="B37:B43"/>
    <mergeCell ref="C37:C40"/>
    <mergeCell ref="C41:C43"/>
    <mergeCell ref="J37:J43"/>
    <mergeCell ref="J56:J63"/>
    <mergeCell ref="B50:B55"/>
    <mergeCell ref="C50:C52"/>
    <mergeCell ref="J50:J55"/>
    <mergeCell ref="C53:C55"/>
    <mergeCell ref="B19:B26"/>
    <mergeCell ref="C19:C26"/>
    <mergeCell ref="B2:J2"/>
    <mergeCell ref="C9:C11"/>
    <mergeCell ref="B5:B11"/>
    <mergeCell ref="J5:J11"/>
    <mergeCell ref="C5:C8"/>
    <mergeCell ref="B44:B49"/>
    <mergeCell ref="C44:C46"/>
    <mergeCell ref="J44:J49"/>
    <mergeCell ref="C47:C49"/>
    <mergeCell ref="J19:J26"/>
    <mergeCell ref="B32:B36"/>
    <mergeCell ref="C32:C36"/>
    <mergeCell ref="J32:J36"/>
    <mergeCell ref="B27:B31"/>
    <mergeCell ref="C27:C31"/>
    <mergeCell ref="J27:J31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9"/>
  <sheetViews>
    <sheetView showGridLines="0" zoomScaleNormal="100" workbookViewId="0">
      <selection activeCell="E11" sqref="E11"/>
    </sheetView>
  </sheetViews>
  <sheetFormatPr defaultColWidth="8.88671875" defaultRowHeight="16.5"/>
  <cols>
    <col min="1" max="1" width="1.6640625" style="62" customWidth="1"/>
    <col min="2" max="2" width="5.21875" style="62" customWidth="1"/>
    <col min="3" max="3" width="12" style="62" customWidth="1"/>
    <col min="4" max="4" width="18.77734375" style="62" customWidth="1"/>
    <col min="5" max="5" width="19.21875" style="62" bestFit="1" customWidth="1"/>
    <col min="6" max="7" width="10.77734375" style="62" customWidth="1"/>
    <col min="8" max="8" width="37.109375" style="62" customWidth="1"/>
    <col min="9" max="9" width="4.77734375" style="62" bestFit="1" customWidth="1"/>
    <col min="10" max="16384" width="8.88671875" style="62"/>
  </cols>
  <sheetData>
    <row r="1" spans="2:11" ht="9" customHeight="1"/>
    <row r="2" spans="2:11" ht="37.9" customHeight="1">
      <c r="B2" s="580" t="s">
        <v>424</v>
      </c>
      <c r="C2" s="580"/>
      <c r="D2" s="580"/>
      <c r="E2" s="580"/>
      <c r="F2" s="580"/>
      <c r="G2" s="580"/>
      <c r="H2" s="580"/>
      <c r="I2" s="580"/>
    </row>
    <row r="3" spans="2:11" ht="17.25" thickBot="1"/>
    <row r="4" spans="2:11" s="63" customFormat="1" ht="27.75" thickBot="1">
      <c r="B4" s="250" t="s">
        <v>410</v>
      </c>
      <c r="C4" s="251" t="s">
        <v>209</v>
      </c>
      <c r="D4" s="251" t="s">
        <v>423</v>
      </c>
      <c r="E4" s="252" t="s">
        <v>206</v>
      </c>
      <c r="F4" s="251" t="s">
        <v>402</v>
      </c>
      <c r="G4" s="251" t="s">
        <v>400</v>
      </c>
      <c r="H4" s="251" t="s">
        <v>401</v>
      </c>
      <c r="I4" s="253" t="s">
        <v>406</v>
      </c>
      <c r="K4" s="64"/>
    </row>
    <row r="5" spans="2:11">
      <c r="B5" s="239">
        <v>1</v>
      </c>
      <c r="C5" s="334"/>
      <c r="D5" s="334"/>
      <c r="E5" s="334"/>
      <c r="F5" s="334"/>
      <c r="G5" s="334"/>
      <c r="H5" s="334"/>
      <c r="I5" s="333"/>
    </row>
    <row r="6" spans="2:11">
      <c r="B6" s="159">
        <v>2</v>
      </c>
      <c r="C6" s="335"/>
      <c r="D6" s="335"/>
      <c r="E6" s="335"/>
      <c r="F6" s="335"/>
      <c r="G6" s="335"/>
      <c r="H6" s="335"/>
      <c r="I6" s="175"/>
    </row>
    <row r="7" spans="2:11">
      <c r="B7" s="159">
        <v>3</v>
      </c>
      <c r="C7" s="335"/>
      <c r="D7" s="335"/>
      <c r="E7" s="335"/>
      <c r="F7" s="335"/>
      <c r="G7" s="335"/>
      <c r="H7" s="335"/>
      <c r="I7" s="175"/>
    </row>
    <row r="8" spans="2:11">
      <c r="B8" s="159" t="s">
        <v>408</v>
      </c>
      <c r="C8" s="335"/>
      <c r="D8" s="335"/>
      <c r="E8" s="335"/>
      <c r="F8" s="335"/>
      <c r="G8" s="335"/>
      <c r="H8" s="335"/>
      <c r="I8" s="175"/>
    </row>
    <row r="9" spans="2:11" ht="17.25" thickBot="1">
      <c r="B9" s="163" t="s">
        <v>404</v>
      </c>
      <c r="C9" s="336"/>
      <c r="D9" s="336"/>
      <c r="E9" s="336"/>
      <c r="F9" s="336"/>
      <c r="G9" s="336"/>
      <c r="H9" s="336"/>
      <c r="I9" s="176"/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K12"/>
  <sheetViews>
    <sheetView showGridLines="0" zoomScale="85" zoomScaleNormal="85" workbookViewId="0"/>
  </sheetViews>
  <sheetFormatPr defaultColWidth="8.88671875" defaultRowHeight="16.5"/>
  <cols>
    <col min="1" max="1" width="2" style="62" customWidth="1"/>
    <col min="2" max="2" width="5.6640625" style="62" customWidth="1"/>
    <col min="3" max="3" width="13.44140625" style="66" customWidth="1"/>
    <col min="4" max="4" width="20.6640625" style="62" customWidth="1"/>
    <col min="5" max="5" width="19.21875" style="65" bestFit="1" customWidth="1"/>
    <col min="6" max="7" width="10.6640625" style="62" customWidth="1"/>
    <col min="8" max="8" width="40.6640625" style="62" customWidth="1"/>
    <col min="9" max="9" width="4.77734375" style="62" bestFit="1" customWidth="1"/>
    <col min="10" max="16384" width="8.88671875" style="62"/>
  </cols>
  <sheetData>
    <row r="2" spans="2:11" ht="33" customHeight="1">
      <c r="B2" s="580" t="s">
        <v>419</v>
      </c>
      <c r="C2" s="580"/>
      <c r="D2" s="580"/>
      <c r="E2" s="580"/>
      <c r="F2" s="580"/>
      <c r="G2" s="580"/>
      <c r="H2" s="580"/>
      <c r="I2" s="580"/>
    </row>
    <row r="3" spans="2:11" ht="17.25" thickBot="1">
      <c r="B3" s="158"/>
    </row>
    <row r="4" spans="2:11" s="63" customFormat="1" ht="27.75" thickBot="1">
      <c r="B4" s="250" t="s">
        <v>410</v>
      </c>
      <c r="C4" s="251" t="s">
        <v>209</v>
      </c>
      <c r="D4" s="251" t="s">
        <v>205</v>
      </c>
      <c r="E4" s="252" t="s">
        <v>206</v>
      </c>
      <c r="F4" s="251" t="s">
        <v>402</v>
      </c>
      <c r="G4" s="251" t="s">
        <v>400</v>
      </c>
      <c r="H4" s="251" t="s">
        <v>401</v>
      </c>
      <c r="I4" s="253" t="s">
        <v>406</v>
      </c>
      <c r="K4" s="64"/>
    </row>
    <row r="5" spans="2:11">
      <c r="B5" s="239">
        <v>1</v>
      </c>
      <c r="C5" s="240"/>
      <c r="D5" s="254"/>
      <c r="E5" s="255"/>
      <c r="F5" s="256"/>
      <c r="G5" s="256"/>
      <c r="H5" s="257"/>
      <c r="I5" s="258"/>
    </row>
    <row r="6" spans="2:11">
      <c r="B6" s="159">
        <v>2</v>
      </c>
      <c r="C6" s="132"/>
      <c r="D6" s="160"/>
      <c r="E6" s="161"/>
      <c r="F6" s="162"/>
      <c r="G6" s="162"/>
      <c r="H6" s="167"/>
      <c r="I6" s="175"/>
    </row>
    <row r="7" spans="2:11">
      <c r="B7" s="159">
        <v>3</v>
      </c>
      <c r="C7" s="132"/>
      <c r="D7" s="160"/>
      <c r="E7" s="161"/>
      <c r="F7" s="162"/>
      <c r="G7" s="162"/>
      <c r="H7" s="167"/>
      <c r="I7" s="175"/>
    </row>
    <row r="8" spans="2:11">
      <c r="B8" s="159" t="s">
        <v>403</v>
      </c>
      <c r="C8" s="132"/>
      <c r="D8" s="160"/>
      <c r="E8" s="161"/>
      <c r="F8" s="162"/>
      <c r="G8" s="162"/>
      <c r="H8" s="167"/>
      <c r="I8" s="175"/>
    </row>
    <row r="9" spans="2:11" ht="17.25" thickBot="1">
      <c r="B9" s="163" t="s">
        <v>404</v>
      </c>
      <c r="C9" s="133"/>
      <c r="D9" s="164"/>
      <c r="E9" s="165"/>
      <c r="F9" s="166"/>
      <c r="G9" s="166"/>
      <c r="H9" s="168"/>
      <c r="I9" s="176"/>
    </row>
    <row r="12" spans="2:11">
      <c r="C12" s="66" t="s">
        <v>543</v>
      </c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7"/>
  <sheetViews>
    <sheetView showGridLines="0" zoomScale="85" zoomScaleNormal="85" workbookViewId="0">
      <selection activeCell="B5" sqref="B5:B9"/>
    </sheetView>
  </sheetViews>
  <sheetFormatPr defaultColWidth="8.88671875" defaultRowHeight="16.5"/>
  <cols>
    <col min="1" max="1" width="2" style="66" customWidth="1"/>
    <col min="2" max="2" width="7" style="62" customWidth="1"/>
    <col min="3" max="3" width="13.109375" style="62" customWidth="1"/>
    <col min="4" max="4" width="18.5546875" style="66" bestFit="1" customWidth="1"/>
    <col min="5" max="5" width="23.5546875" style="62" bestFit="1" customWidth="1"/>
    <col min="6" max="6" width="7.109375" style="62" bestFit="1" customWidth="1"/>
    <col min="7" max="7" width="7.33203125" style="62" bestFit="1" customWidth="1"/>
    <col min="8" max="8" width="32" style="62" bestFit="1" customWidth="1"/>
    <col min="9" max="9" width="4.21875" style="62" customWidth="1"/>
    <col min="10" max="10" width="5.77734375" style="62" customWidth="1"/>
    <col min="11" max="11" width="17.5546875" style="62" bestFit="1" customWidth="1"/>
    <col min="12" max="12" width="21" style="62" bestFit="1" customWidth="1"/>
    <col min="13" max="13" width="4.44140625" style="62" bestFit="1" customWidth="1"/>
    <col min="14" max="14" width="27.6640625" style="62" bestFit="1" customWidth="1"/>
    <col min="15" max="15" width="4.21875" style="62" bestFit="1" customWidth="1"/>
    <col min="16" max="16384" width="8.88671875" style="62"/>
  </cols>
  <sheetData>
    <row r="1" spans="1:9" ht="7.15" customHeight="1"/>
    <row r="2" spans="1:9" ht="40.9" customHeight="1">
      <c r="B2" s="580" t="s">
        <v>420</v>
      </c>
      <c r="C2" s="580"/>
      <c r="D2" s="580"/>
      <c r="E2" s="580"/>
      <c r="F2" s="580"/>
      <c r="G2" s="580"/>
      <c r="H2" s="580"/>
      <c r="I2" s="580"/>
    </row>
    <row r="3" spans="1:9" ht="17.25" thickBot="1">
      <c r="A3" s="62"/>
      <c r="D3" s="62"/>
    </row>
    <row r="4" spans="1:9" s="63" customFormat="1" ht="27.75" thickBot="1">
      <c r="A4" s="68"/>
      <c r="B4" s="250" t="s">
        <v>413</v>
      </c>
      <c r="C4" s="251" t="s">
        <v>47</v>
      </c>
      <c r="D4" s="251" t="s">
        <v>205</v>
      </c>
      <c r="E4" s="252" t="s">
        <v>206</v>
      </c>
      <c r="F4" s="251" t="s">
        <v>405</v>
      </c>
      <c r="G4" s="251" t="s">
        <v>407</v>
      </c>
      <c r="H4" s="251" t="s">
        <v>48</v>
      </c>
      <c r="I4" s="253" t="s">
        <v>207</v>
      </c>
    </row>
    <row r="5" spans="1:9">
      <c r="A5" s="69"/>
      <c r="B5" s="239">
        <v>1</v>
      </c>
      <c r="C5" s="240"/>
      <c r="D5" s="241"/>
      <c r="E5" s="242"/>
      <c r="F5" s="242"/>
      <c r="G5" s="248"/>
      <c r="H5" s="249"/>
      <c r="I5" s="243"/>
    </row>
    <row r="6" spans="1:9">
      <c r="A6" s="69"/>
      <c r="B6" s="159">
        <v>2</v>
      </c>
      <c r="C6" s="132"/>
      <c r="D6" s="169"/>
      <c r="E6" s="147"/>
      <c r="F6" s="147"/>
      <c r="G6" s="170"/>
      <c r="H6" s="171"/>
      <c r="I6" s="177"/>
    </row>
    <row r="7" spans="1:9">
      <c r="A7" s="69"/>
      <c r="B7" s="159">
        <v>3</v>
      </c>
      <c r="C7" s="132"/>
      <c r="D7" s="169"/>
      <c r="E7" s="147"/>
      <c r="F7" s="147"/>
      <c r="G7" s="170"/>
      <c r="H7" s="171"/>
      <c r="I7" s="174"/>
    </row>
    <row r="8" spans="1:9">
      <c r="A8" s="69"/>
      <c r="B8" s="159" t="s">
        <v>408</v>
      </c>
      <c r="C8" s="132"/>
      <c r="D8" s="172"/>
      <c r="E8" s="147"/>
      <c r="F8" s="172"/>
      <c r="G8" s="170"/>
      <c r="H8" s="172"/>
      <c r="I8" s="177"/>
    </row>
    <row r="9" spans="1:9" ht="17.25" thickBot="1">
      <c r="A9" s="69"/>
      <c r="B9" s="163" t="s">
        <v>409</v>
      </c>
      <c r="C9" s="133"/>
      <c r="D9" s="145"/>
      <c r="E9" s="145"/>
      <c r="F9" s="145"/>
      <c r="G9" s="173"/>
      <c r="H9" s="145"/>
      <c r="I9" s="178"/>
    </row>
    <row r="10" spans="1:9">
      <c r="A10" s="67"/>
      <c r="D10" s="62"/>
    </row>
    <row r="11" spans="1:9">
      <c r="A11" s="67"/>
      <c r="D11" s="62"/>
    </row>
    <row r="12" spans="1:9">
      <c r="A12" s="67"/>
      <c r="C12" s="66"/>
      <c r="D12" s="62"/>
    </row>
    <row r="13" spans="1:9">
      <c r="A13" s="67"/>
      <c r="D13" s="62"/>
    </row>
    <row r="14" spans="1:9">
      <c r="A14" s="67"/>
      <c r="D14" s="62"/>
    </row>
    <row r="15" spans="1:9">
      <c r="A15" s="67"/>
      <c r="D15" s="62"/>
    </row>
    <row r="16" spans="1:9">
      <c r="A16" s="67"/>
      <c r="D16" s="62"/>
    </row>
    <row r="17" spans="1:4">
      <c r="A17" s="67"/>
      <c r="D17" s="62"/>
    </row>
    <row r="18" spans="1:4">
      <c r="A18" s="67"/>
      <c r="D18" s="62"/>
    </row>
    <row r="19" spans="1:4">
      <c r="A19" s="67"/>
      <c r="D19" s="62"/>
    </row>
    <row r="20" spans="1:4">
      <c r="A20" s="67"/>
      <c r="D20" s="62"/>
    </row>
    <row r="21" spans="1:4">
      <c r="A21" s="67"/>
      <c r="D21" s="62"/>
    </row>
    <row r="22" spans="1:4">
      <c r="A22" s="67"/>
      <c r="D22" s="62"/>
    </row>
    <row r="23" spans="1:4">
      <c r="A23" s="67"/>
      <c r="D23" s="62"/>
    </row>
    <row r="24" spans="1:4">
      <c r="A24" s="67"/>
      <c r="D24" s="62"/>
    </row>
    <row r="25" spans="1:4">
      <c r="A25" s="67"/>
      <c r="D25" s="62"/>
    </row>
    <row r="26" spans="1:4">
      <c r="A26" s="67"/>
      <c r="D26" s="62"/>
    </row>
    <row r="27" spans="1:4">
      <c r="A27" s="67"/>
      <c r="D27" s="62"/>
    </row>
    <row r="28" spans="1:4">
      <c r="A28" s="67"/>
      <c r="D28" s="62"/>
    </row>
    <row r="29" spans="1:4">
      <c r="A29" s="67"/>
      <c r="D29" s="62"/>
    </row>
    <row r="30" spans="1:4">
      <c r="A30" s="67"/>
      <c r="D30" s="62"/>
    </row>
    <row r="31" spans="1:4">
      <c r="A31" s="67"/>
      <c r="D31" s="62"/>
    </row>
    <row r="32" spans="1:4">
      <c r="A32" s="67"/>
      <c r="D32" s="62"/>
    </row>
    <row r="33" spans="1:4">
      <c r="A33" s="67"/>
      <c r="D33" s="62"/>
    </row>
    <row r="34" spans="1:4">
      <c r="A34" s="67"/>
      <c r="D34" s="62"/>
    </row>
    <row r="35" spans="1:4">
      <c r="A35" s="67"/>
      <c r="D35" s="62"/>
    </row>
    <row r="36" spans="1:4">
      <c r="A36" s="67"/>
      <c r="D36" s="62"/>
    </row>
    <row r="37" spans="1:4">
      <c r="A37" s="67"/>
      <c r="D37" s="62"/>
    </row>
    <row r="38" spans="1:4">
      <c r="A38" s="67"/>
      <c r="D38" s="62"/>
    </row>
    <row r="39" spans="1:4">
      <c r="A39" s="67"/>
      <c r="D39" s="62"/>
    </row>
    <row r="40" spans="1:4">
      <c r="A40" s="67"/>
      <c r="D40" s="62"/>
    </row>
    <row r="41" spans="1:4">
      <c r="A41" s="70"/>
      <c r="D41" s="62"/>
    </row>
    <row r="42" spans="1:4">
      <c r="A42" s="67"/>
      <c r="D42" s="62"/>
    </row>
    <row r="43" spans="1:4">
      <c r="A43" s="67"/>
      <c r="D43" s="62"/>
    </row>
    <row r="44" spans="1:4">
      <c r="A44" s="67"/>
      <c r="D44" s="62"/>
    </row>
    <row r="45" spans="1:4">
      <c r="A45" s="67"/>
      <c r="D45" s="62"/>
    </row>
    <row r="46" spans="1:4">
      <c r="A46" s="67"/>
      <c r="D46" s="62"/>
    </row>
    <row r="47" spans="1:4">
      <c r="A47" s="67"/>
      <c r="D47" s="62"/>
    </row>
    <row r="48" spans="1:4">
      <c r="A48" s="67"/>
      <c r="D48" s="62"/>
    </row>
    <row r="49" spans="1:4">
      <c r="A49" s="67"/>
      <c r="D49" s="62"/>
    </row>
    <row r="50" spans="1:4">
      <c r="A50" s="67"/>
      <c r="D50" s="62"/>
    </row>
    <row r="51" spans="1:4">
      <c r="A51" s="67"/>
      <c r="D51" s="62"/>
    </row>
    <row r="52" spans="1:4">
      <c r="A52" s="67"/>
      <c r="D52" s="62"/>
    </row>
    <row r="53" spans="1:4">
      <c r="A53" s="67"/>
      <c r="D53" s="62"/>
    </row>
    <row r="54" spans="1:4">
      <c r="A54" s="67"/>
      <c r="D54" s="62"/>
    </row>
    <row r="55" spans="1:4">
      <c r="A55" s="67"/>
      <c r="D55" s="62"/>
    </row>
    <row r="56" spans="1:4">
      <c r="A56" s="67"/>
      <c r="D56" s="62"/>
    </row>
    <row r="57" spans="1:4">
      <c r="A57" s="67"/>
      <c r="D57" s="62"/>
    </row>
    <row r="58" spans="1:4">
      <c r="A58" s="67"/>
      <c r="D58" s="62"/>
    </row>
    <row r="59" spans="1:4">
      <c r="A59" s="67"/>
      <c r="D59" s="62"/>
    </row>
    <row r="60" spans="1:4">
      <c r="A60" s="67"/>
      <c r="D60" s="62"/>
    </row>
    <row r="61" spans="1:4">
      <c r="A61" s="67"/>
      <c r="D61" s="62"/>
    </row>
    <row r="62" spans="1:4">
      <c r="A62" s="67"/>
      <c r="D62" s="62"/>
    </row>
    <row r="63" spans="1:4">
      <c r="A63" s="67"/>
      <c r="D63" s="62"/>
    </row>
    <row r="64" spans="1:4">
      <c r="A64" s="67"/>
      <c r="D64" s="62"/>
    </row>
    <row r="65" spans="1:4">
      <c r="A65" s="67"/>
      <c r="D65" s="62"/>
    </row>
    <row r="66" spans="1:4">
      <c r="A66" s="67"/>
      <c r="D66" s="62"/>
    </row>
    <row r="67" spans="1:4">
      <c r="A67" s="67"/>
      <c r="D67" s="62"/>
    </row>
    <row r="68" spans="1:4">
      <c r="A68" s="67"/>
      <c r="D68" s="62"/>
    </row>
    <row r="69" spans="1:4">
      <c r="A69" s="67"/>
      <c r="D69" s="62"/>
    </row>
    <row r="70" spans="1:4">
      <c r="A70" s="67"/>
      <c r="D70" s="62"/>
    </row>
    <row r="71" spans="1:4">
      <c r="A71" s="67"/>
      <c r="D71" s="62"/>
    </row>
    <row r="72" spans="1:4">
      <c r="A72" s="67"/>
      <c r="D72" s="62"/>
    </row>
    <row r="73" spans="1:4">
      <c r="A73" s="67"/>
      <c r="D73" s="62"/>
    </row>
    <row r="74" spans="1:4">
      <c r="A74" s="67"/>
      <c r="D74" s="62"/>
    </row>
    <row r="75" spans="1:4">
      <c r="A75" s="67"/>
      <c r="D75" s="62"/>
    </row>
    <row r="76" spans="1:4">
      <c r="A76" s="67"/>
      <c r="D76" s="62"/>
    </row>
    <row r="77" spans="1:4">
      <c r="A77" s="67"/>
      <c r="D77" s="62"/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7"/>
  <sheetViews>
    <sheetView showGridLines="0" zoomScale="85" zoomScaleNormal="85" workbookViewId="0">
      <selection activeCell="H20" sqref="H20"/>
    </sheetView>
  </sheetViews>
  <sheetFormatPr defaultColWidth="8.88671875" defaultRowHeight="16.5"/>
  <cols>
    <col min="1" max="1" width="1.44140625" style="66" customWidth="1"/>
    <col min="2" max="2" width="7" style="62" customWidth="1"/>
    <col min="3" max="3" width="9.77734375" style="62" customWidth="1"/>
    <col min="4" max="4" width="18.5546875" style="66" bestFit="1" customWidth="1"/>
    <col min="5" max="5" width="23.5546875" style="62" bestFit="1" customWidth="1"/>
    <col min="6" max="6" width="7.109375" style="62" bestFit="1" customWidth="1"/>
    <col min="7" max="7" width="7.33203125" style="62" bestFit="1" customWidth="1"/>
    <col min="8" max="8" width="32" style="62" bestFit="1" customWidth="1"/>
    <col min="9" max="9" width="4.21875" style="62" customWidth="1"/>
    <col min="10" max="10" width="5.77734375" style="62" customWidth="1"/>
    <col min="11" max="11" width="17.5546875" style="62" bestFit="1" customWidth="1"/>
    <col min="12" max="12" width="21" style="62" bestFit="1" customWidth="1"/>
    <col min="13" max="13" width="4.44140625" style="62" bestFit="1" customWidth="1"/>
    <col min="14" max="14" width="27.6640625" style="62" bestFit="1" customWidth="1"/>
    <col min="15" max="15" width="4.21875" style="62" bestFit="1" customWidth="1"/>
    <col min="16" max="16384" width="8.88671875" style="62"/>
  </cols>
  <sheetData>
    <row r="1" spans="1:9" ht="17.45" customHeight="1"/>
    <row r="2" spans="1:9" ht="44.45" customHeight="1">
      <c r="B2" s="580" t="s">
        <v>421</v>
      </c>
      <c r="C2" s="580"/>
      <c r="D2" s="580"/>
      <c r="E2" s="580"/>
      <c r="F2" s="580"/>
      <c r="G2" s="580"/>
      <c r="H2" s="580"/>
      <c r="I2" s="580"/>
    </row>
    <row r="3" spans="1:9" ht="17.25" thickBot="1">
      <c r="A3" s="62"/>
      <c r="D3" s="62"/>
    </row>
    <row r="4" spans="1:9" s="63" customFormat="1" ht="27.75" thickBot="1">
      <c r="A4" s="68"/>
      <c r="B4" s="250" t="s">
        <v>414</v>
      </c>
      <c r="C4" s="251" t="s">
        <v>47</v>
      </c>
      <c r="D4" s="251" t="s">
        <v>205</v>
      </c>
      <c r="E4" s="252" t="s">
        <v>206</v>
      </c>
      <c r="F4" s="251" t="s">
        <v>405</v>
      </c>
      <c r="G4" s="251" t="s">
        <v>407</v>
      </c>
      <c r="H4" s="251" t="s">
        <v>48</v>
      </c>
      <c r="I4" s="253" t="s">
        <v>207</v>
      </c>
    </row>
    <row r="5" spans="1:9">
      <c r="A5" s="69"/>
      <c r="B5" s="239">
        <v>1</v>
      </c>
      <c r="C5" s="240"/>
      <c r="D5" s="241"/>
      <c r="E5" s="242"/>
      <c r="F5" s="242"/>
      <c r="G5" s="248"/>
      <c r="H5" s="249"/>
      <c r="I5" s="243"/>
    </row>
    <row r="6" spans="1:9">
      <c r="A6" s="69"/>
      <c r="B6" s="159">
        <v>2</v>
      </c>
      <c r="C6" s="132"/>
      <c r="D6" s="169"/>
      <c r="E6" s="147"/>
      <c r="F6" s="147"/>
      <c r="G6" s="170"/>
      <c r="H6" s="171"/>
      <c r="I6" s="177"/>
    </row>
    <row r="7" spans="1:9">
      <c r="A7" s="69"/>
      <c r="B7" s="159">
        <v>3</v>
      </c>
      <c r="C7" s="132"/>
      <c r="D7" s="169"/>
      <c r="E7" s="147"/>
      <c r="F7" s="147"/>
      <c r="G7" s="170"/>
      <c r="H7" s="171"/>
      <c r="I7" s="174"/>
    </row>
    <row r="8" spans="1:9">
      <c r="A8" s="69"/>
      <c r="B8" s="159" t="s">
        <v>408</v>
      </c>
      <c r="C8" s="132"/>
      <c r="D8" s="172"/>
      <c r="E8" s="147"/>
      <c r="F8" s="172"/>
      <c r="G8" s="170"/>
      <c r="H8" s="172"/>
      <c r="I8" s="177"/>
    </row>
    <row r="9" spans="1:9" ht="17.25" thickBot="1">
      <c r="A9" s="69"/>
      <c r="B9" s="163" t="s">
        <v>409</v>
      </c>
      <c r="C9" s="133"/>
      <c r="D9" s="145"/>
      <c r="E9" s="145"/>
      <c r="F9" s="145"/>
      <c r="G9" s="173"/>
      <c r="H9" s="145"/>
      <c r="I9" s="178"/>
    </row>
    <row r="10" spans="1:9">
      <c r="A10" s="67"/>
      <c r="D10" s="62"/>
    </row>
    <row r="11" spans="1:9">
      <c r="A11" s="67"/>
      <c r="D11" s="62"/>
    </row>
    <row r="12" spans="1:9">
      <c r="A12" s="67"/>
      <c r="D12" s="62"/>
    </row>
    <row r="13" spans="1:9">
      <c r="A13" s="67"/>
      <c r="C13" s="66" t="s">
        <v>543</v>
      </c>
      <c r="D13" s="62"/>
    </row>
    <row r="14" spans="1:9">
      <c r="A14" s="67"/>
      <c r="D14" s="62"/>
    </row>
    <row r="15" spans="1:9">
      <c r="A15" s="67"/>
      <c r="D15" s="62"/>
    </row>
    <row r="16" spans="1:9">
      <c r="A16" s="67"/>
      <c r="D16" s="62"/>
    </row>
    <row r="17" spans="1:4">
      <c r="A17" s="67"/>
      <c r="D17" s="62"/>
    </row>
    <row r="18" spans="1:4">
      <c r="A18" s="67"/>
      <c r="D18" s="62"/>
    </row>
    <row r="19" spans="1:4">
      <c r="A19" s="67"/>
      <c r="D19" s="62"/>
    </row>
    <row r="20" spans="1:4">
      <c r="A20" s="67"/>
      <c r="D20" s="62"/>
    </row>
    <row r="21" spans="1:4">
      <c r="A21" s="67"/>
      <c r="D21" s="62"/>
    </row>
    <row r="22" spans="1:4">
      <c r="A22" s="67"/>
      <c r="D22" s="62"/>
    </row>
    <row r="23" spans="1:4">
      <c r="A23" s="67"/>
      <c r="D23" s="62"/>
    </row>
    <row r="24" spans="1:4">
      <c r="A24" s="67"/>
      <c r="D24" s="62"/>
    </row>
    <row r="25" spans="1:4">
      <c r="A25" s="67"/>
      <c r="D25" s="62"/>
    </row>
    <row r="26" spans="1:4">
      <c r="A26" s="67"/>
      <c r="D26" s="62"/>
    </row>
    <row r="27" spans="1:4">
      <c r="A27" s="67"/>
      <c r="D27" s="62"/>
    </row>
    <row r="28" spans="1:4">
      <c r="A28" s="67"/>
      <c r="D28" s="62"/>
    </row>
    <row r="29" spans="1:4">
      <c r="A29" s="67"/>
      <c r="D29" s="62"/>
    </row>
    <row r="30" spans="1:4">
      <c r="A30" s="67"/>
      <c r="D30" s="62"/>
    </row>
    <row r="31" spans="1:4">
      <c r="A31" s="67"/>
      <c r="D31" s="62"/>
    </row>
    <row r="32" spans="1:4">
      <c r="A32" s="67"/>
      <c r="D32" s="62"/>
    </row>
    <row r="33" spans="1:4">
      <c r="A33" s="67"/>
      <c r="D33" s="62"/>
    </row>
    <row r="34" spans="1:4">
      <c r="A34" s="67"/>
      <c r="D34" s="62"/>
    </row>
    <row r="35" spans="1:4">
      <c r="A35" s="67"/>
      <c r="D35" s="62"/>
    </row>
    <row r="36" spans="1:4">
      <c r="A36" s="67"/>
      <c r="D36" s="62"/>
    </row>
    <row r="37" spans="1:4">
      <c r="A37" s="67"/>
      <c r="D37" s="62"/>
    </row>
    <row r="38" spans="1:4">
      <c r="A38" s="67"/>
      <c r="D38" s="62"/>
    </row>
    <row r="39" spans="1:4">
      <c r="A39" s="67"/>
      <c r="D39" s="62"/>
    </row>
    <row r="40" spans="1:4">
      <c r="A40" s="67"/>
      <c r="D40" s="62"/>
    </row>
    <row r="41" spans="1:4">
      <c r="A41" s="70"/>
      <c r="D41" s="62"/>
    </row>
    <row r="42" spans="1:4">
      <c r="A42" s="67"/>
      <c r="D42" s="62"/>
    </row>
    <row r="43" spans="1:4">
      <c r="A43" s="67"/>
      <c r="D43" s="62"/>
    </row>
    <row r="44" spans="1:4">
      <c r="A44" s="67"/>
      <c r="D44" s="62"/>
    </row>
    <row r="45" spans="1:4">
      <c r="A45" s="67"/>
      <c r="D45" s="62"/>
    </row>
    <row r="46" spans="1:4">
      <c r="A46" s="67"/>
      <c r="D46" s="62"/>
    </row>
    <row r="47" spans="1:4">
      <c r="A47" s="67"/>
      <c r="D47" s="62"/>
    </row>
    <row r="48" spans="1:4">
      <c r="A48" s="67"/>
      <c r="D48" s="62"/>
    </row>
    <row r="49" spans="1:4">
      <c r="A49" s="67"/>
      <c r="D49" s="62"/>
    </row>
    <row r="50" spans="1:4">
      <c r="A50" s="67"/>
      <c r="D50" s="62"/>
    </row>
    <row r="51" spans="1:4">
      <c r="A51" s="67"/>
      <c r="D51" s="62"/>
    </row>
    <row r="52" spans="1:4">
      <c r="A52" s="67"/>
      <c r="D52" s="62"/>
    </row>
    <row r="53" spans="1:4">
      <c r="A53" s="67"/>
      <c r="D53" s="62"/>
    </row>
    <row r="54" spans="1:4">
      <c r="A54" s="67"/>
      <c r="D54" s="62"/>
    </row>
    <row r="55" spans="1:4">
      <c r="A55" s="67"/>
      <c r="D55" s="62"/>
    </row>
    <row r="56" spans="1:4">
      <c r="A56" s="67"/>
      <c r="D56" s="62"/>
    </row>
    <row r="57" spans="1:4">
      <c r="A57" s="67"/>
      <c r="D57" s="62"/>
    </row>
    <row r="58" spans="1:4">
      <c r="A58" s="67"/>
      <c r="D58" s="62"/>
    </row>
    <row r="59" spans="1:4">
      <c r="A59" s="67"/>
      <c r="D59" s="62"/>
    </row>
    <row r="60" spans="1:4">
      <c r="A60" s="67"/>
      <c r="D60" s="62"/>
    </row>
    <row r="61" spans="1:4">
      <c r="A61" s="67"/>
      <c r="D61" s="62"/>
    </row>
    <row r="62" spans="1:4">
      <c r="A62" s="67"/>
      <c r="D62" s="62"/>
    </row>
    <row r="63" spans="1:4">
      <c r="A63" s="67"/>
      <c r="D63" s="62"/>
    </row>
    <row r="64" spans="1:4">
      <c r="A64" s="67"/>
      <c r="D64" s="62"/>
    </row>
    <row r="65" spans="1:4">
      <c r="A65" s="67"/>
      <c r="D65" s="62"/>
    </row>
    <row r="66" spans="1:4">
      <c r="A66" s="67"/>
      <c r="D66" s="62"/>
    </row>
    <row r="67" spans="1:4">
      <c r="A67" s="67"/>
      <c r="D67" s="62"/>
    </row>
    <row r="68" spans="1:4">
      <c r="A68" s="67"/>
      <c r="D68" s="62"/>
    </row>
    <row r="69" spans="1:4">
      <c r="A69" s="67"/>
      <c r="D69" s="62"/>
    </row>
    <row r="70" spans="1:4">
      <c r="A70" s="67"/>
      <c r="D70" s="62"/>
    </row>
    <row r="71" spans="1:4">
      <c r="A71" s="67"/>
      <c r="D71" s="62"/>
    </row>
    <row r="72" spans="1:4">
      <c r="A72" s="67"/>
      <c r="D72" s="62"/>
    </row>
    <row r="73" spans="1:4">
      <c r="A73" s="67"/>
      <c r="D73" s="62"/>
    </row>
    <row r="74" spans="1:4">
      <c r="A74" s="67"/>
      <c r="D74" s="62"/>
    </row>
    <row r="75" spans="1:4">
      <c r="A75" s="67"/>
      <c r="D75" s="62"/>
    </row>
    <row r="76" spans="1:4">
      <c r="A76" s="67"/>
      <c r="D76" s="62"/>
    </row>
    <row r="77" spans="1:4">
      <c r="A77" s="67"/>
      <c r="D77" s="62"/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showGridLines="0" zoomScale="85" zoomScaleNormal="85" workbookViewId="0">
      <selection activeCell="J40" sqref="J40"/>
    </sheetView>
  </sheetViews>
  <sheetFormatPr defaultColWidth="8" defaultRowHeight="13.5"/>
  <cols>
    <col min="1" max="1" width="2.6640625" style="63" customWidth="1"/>
    <col min="2" max="2" width="8.21875" style="181" customWidth="1"/>
    <col min="3" max="3" width="10.5546875" style="181" customWidth="1"/>
    <col min="4" max="4" width="9.44140625" style="181" customWidth="1"/>
    <col min="5" max="5" width="40.5546875" style="181" customWidth="1"/>
    <col min="6" max="16384" width="8" style="63"/>
  </cols>
  <sheetData>
    <row r="1" spans="1:6" s="62" customFormat="1" ht="13.9" customHeight="1">
      <c r="A1" s="66"/>
    </row>
    <row r="2" spans="1:6" s="62" customFormat="1" ht="43.9" customHeight="1">
      <c r="A2" s="66"/>
      <c r="B2" s="580" t="s">
        <v>422</v>
      </c>
      <c r="C2" s="580"/>
      <c r="D2" s="580"/>
      <c r="E2" s="580"/>
      <c r="F2" s="580"/>
    </row>
    <row r="3" spans="1:6" s="62" customFormat="1" ht="21" thickBot="1">
      <c r="A3" s="66"/>
      <c r="B3" s="179"/>
    </row>
    <row r="4" spans="1:6" ht="25.15" customHeight="1" thickBot="1">
      <c r="A4" s="180"/>
      <c r="B4" s="244" t="s">
        <v>410</v>
      </c>
      <c r="C4" s="245" t="s">
        <v>208</v>
      </c>
      <c r="D4" s="246" t="s">
        <v>411</v>
      </c>
      <c r="E4" s="245" t="s">
        <v>412</v>
      </c>
      <c r="F4" s="247" t="s">
        <v>207</v>
      </c>
    </row>
    <row r="5" spans="1:6" s="62" customFormat="1" ht="16.5">
      <c r="A5" s="67"/>
      <c r="B5" s="239">
        <v>1</v>
      </c>
      <c r="C5" s="240"/>
      <c r="D5" s="242"/>
      <c r="E5" s="242"/>
      <c r="F5" s="243"/>
    </row>
    <row r="6" spans="1:6" s="62" customFormat="1" ht="16.5">
      <c r="A6" s="67"/>
      <c r="B6" s="159">
        <v>2</v>
      </c>
      <c r="C6" s="132"/>
      <c r="D6" s="147"/>
      <c r="E6" s="147"/>
      <c r="F6" s="177"/>
    </row>
    <row r="7" spans="1:6" s="62" customFormat="1" ht="16.5">
      <c r="A7" s="67"/>
      <c r="B7" s="159">
        <v>3</v>
      </c>
      <c r="C7" s="132"/>
      <c r="D7" s="147"/>
      <c r="E7" s="147"/>
      <c r="F7" s="174"/>
    </row>
    <row r="8" spans="1:6" s="62" customFormat="1" ht="16.5">
      <c r="A8" s="67"/>
      <c r="B8" s="159" t="s">
        <v>408</v>
      </c>
      <c r="C8" s="132"/>
      <c r="D8" s="147"/>
      <c r="E8" s="172"/>
      <c r="F8" s="177"/>
    </row>
    <row r="9" spans="1:6" s="62" customFormat="1" ht="17.25" thickBot="1">
      <c r="A9" s="67"/>
      <c r="B9" s="163" t="s">
        <v>409</v>
      </c>
      <c r="C9" s="133"/>
      <c r="D9" s="145"/>
      <c r="E9" s="145"/>
      <c r="F9" s="178"/>
    </row>
  </sheetData>
  <mergeCells count="1">
    <mergeCell ref="B2:F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표지</vt:lpstr>
      <vt:lpstr>개정 이력</vt:lpstr>
      <vt:lpstr>설비 정보</vt:lpstr>
      <vt:lpstr>01. EQP Diagram</vt:lpstr>
      <vt:lpstr>02. GEM Compliance</vt:lpstr>
      <vt:lpstr>Stream Function</vt:lpstr>
      <vt:lpstr>04. Item Format</vt:lpstr>
      <vt:lpstr>03. UI 및 설정기능</vt:lpstr>
      <vt:lpstr>06. SV List</vt:lpstr>
      <vt:lpstr>Event List (S6F11)</vt:lpstr>
      <vt:lpstr>RCMD List (S2F49)</vt:lpstr>
      <vt:lpstr>Recipe Parameter(Set Value)</vt:lpstr>
      <vt:lpstr>07. Trace Data</vt:lpstr>
      <vt:lpstr>Lot Process Data</vt:lpstr>
      <vt:lpstr>09. Carrier Process Data</vt:lpstr>
      <vt:lpstr>Alarm</vt:lpstr>
      <vt:lpstr>표지!Print_Area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박종태D;엄창섭</dc:creator>
  <cp:lastModifiedBy>한종석</cp:lastModifiedBy>
  <cp:lastPrinted>2019-05-18T01:26:26Z</cp:lastPrinted>
  <dcterms:created xsi:type="dcterms:W3CDTF">2004-08-19T05:29:55Z</dcterms:created>
  <dcterms:modified xsi:type="dcterms:W3CDTF">2026-03-03T03:26:44Z</dcterms:modified>
</cp:coreProperties>
</file>