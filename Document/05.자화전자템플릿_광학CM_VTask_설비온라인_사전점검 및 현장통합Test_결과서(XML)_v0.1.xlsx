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00.프로젝트\15.자화전자\80.테스트결과서\"/>
    </mc:Choice>
  </mc:AlternateContent>
  <xr:revisionPtr revIDLastSave="0" documentId="13_ncr:1_{71B0F54B-FA35-4784-B03F-03E664E49885}" xr6:coauthVersionLast="47" xr6:coauthVersionMax="47" xr10:uidLastSave="{00000000-0000-0000-0000-000000000000}"/>
  <bookViews>
    <workbookView xWindow="-120" yWindow="-120" windowWidth="29040" windowHeight="15720" activeTab="3" xr2:uid="{00000000-000D-0000-FFFF-FFFF00000000}"/>
  </bookViews>
  <sheets>
    <sheet name="표지" sheetId="6" r:id="rId1"/>
    <sheet name="개정이력" sheetId="7" r:id="rId2"/>
    <sheet name="Test 결과 종합" sheetId="4" r:id="rId3"/>
    <sheet name="01) 메세지 테스트" sheetId="3" r:id="rId4"/>
    <sheet name="02) 시나리오 테스트" sheetId="2" r:id="rId5"/>
    <sheet name="03) Open Item" sheetId="5" r:id="rId6"/>
  </sheets>
  <definedNames>
    <definedName name="_xlnm._FilterDatabase" localSheetId="3" hidden="1">'01) 메세지 테스트'!$A$4:$AN$4</definedName>
    <definedName name="_xlnm._FilterDatabase" localSheetId="4" hidden="1">'02) 시나리오 테스트'!$B$4:$K$59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1" i="2" l="1"/>
  <c r="B52" i="2"/>
  <c r="B51" i="2"/>
  <c r="B50" i="2"/>
  <c r="B35" i="2"/>
  <c r="B31" i="2"/>
  <c r="B28" i="2"/>
  <c r="B27" i="2"/>
  <c r="B18" i="2"/>
  <c r="B16" i="2"/>
  <c r="B15" i="2"/>
  <c r="B12" i="2"/>
  <c r="B11" i="2"/>
  <c r="B8" i="2" l="1"/>
  <c r="B9" i="2" s="1"/>
  <c r="C11" i="2"/>
  <c r="B55" i="2" l="1"/>
  <c r="C55" i="2" s="1"/>
  <c r="B11" i="6" l="1"/>
  <c r="F15" i="4" l="1"/>
  <c r="F16" i="4"/>
  <c r="G16" i="4"/>
  <c r="F17" i="4"/>
  <c r="G17" i="4"/>
  <c r="F18" i="4"/>
  <c r="G18" i="4"/>
  <c r="F19" i="4"/>
  <c r="G19" i="4"/>
  <c r="F20" i="4"/>
  <c r="G20" i="4"/>
  <c r="F21" i="4"/>
  <c r="G21" i="4"/>
  <c r="E21" i="4"/>
  <c r="E20" i="4"/>
  <c r="E19" i="4"/>
  <c r="E18" i="4"/>
  <c r="E17" i="4"/>
  <c r="E16" i="4"/>
  <c r="E15" i="4"/>
  <c r="D21" i="4"/>
  <c r="D20" i="4"/>
  <c r="D19" i="4"/>
  <c r="D18" i="4"/>
  <c r="D17" i="4"/>
  <c r="D16" i="4"/>
  <c r="D15" i="4"/>
  <c r="F8" i="4"/>
  <c r="G8" i="4"/>
  <c r="F9" i="4"/>
  <c r="G9" i="4"/>
  <c r="F10" i="4"/>
  <c r="G10" i="4"/>
  <c r="F11" i="4"/>
  <c r="G11" i="4"/>
  <c r="F12" i="4"/>
  <c r="G12" i="4"/>
  <c r="F13" i="4"/>
  <c r="G13" i="4"/>
  <c r="F14" i="4"/>
  <c r="G14" i="4"/>
  <c r="E14" i="4"/>
  <c r="E13" i="4"/>
  <c r="E12" i="4"/>
  <c r="E11" i="4"/>
  <c r="E10" i="4"/>
  <c r="E9" i="4"/>
  <c r="E8" i="4"/>
  <c r="D14" i="4"/>
  <c r="D13" i="4"/>
  <c r="D12" i="4"/>
  <c r="D11" i="4"/>
  <c r="D10" i="4"/>
  <c r="D9" i="4"/>
  <c r="D8" i="4"/>
  <c r="N21" i="4"/>
  <c r="N20" i="4"/>
  <c r="O20" i="4" s="1"/>
  <c r="N19" i="4"/>
  <c r="O19" i="4" s="1"/>
  <c r="L21" i="4"/>
  <c r="L20" i="4"/>
  <c r="L19" i="4"/>
  <c r="J21" i="4"/>
  <c r="J20" i="4"/>
  <c r="J19" i="4"/>
  <c r="N14" i="4"/>
  <c r="N13" i="4"/>
  <c r="N12" i="4"/>
  <c r="L14" i="4"/>
  <c r="L13" i="4"/>
  <c r="L12" i="4"/>
  <c r="J14" i="4"/>
  <c r="J13" i="4"/>
  <c r="J12" i="4"/>
  <c r="J9" i="4"/>
  <c r="L9" i="4"/>
  <c r="N9" i="4"/>
  <c r="J10" i="4"/>
  <c r="L10" i="4"/>
  <c r="N10" i="4"/>
  <c r="J28" i="4" l="1"/>
  <c r="L28" i="4"/>
  <c r="L26" i="4"/>
  <c r="J27" i="4"/>
  <c r="O9" i="4"/>
  <c r="O12" i="4"/>
  <c r="N26" i="4"/>
  <c r="O26" i="4" s="1"/>
  <c r="O13" i="4"/>
  <c r="N27" i="4"/>
  <c r="O27" i="4" s="1"/>
  <c r="J26" i="4"/>
  <c r="L27" i="4"/>
  <c r="M27" i="4" s="1"/>
  <c r="N28" i="4"/>
  <c r="N18" i="4"/>
  <c r="N17" i="4"/>
  <c r="N24" i="4" s="1"/>
  <c r="N16" i="4"/>
  <c r="N23" i="4" s="1"/>
  <c r="O23" i="4" s="1"/>
  <c r="L18" i="4"/>
  <c r="L17" i="4"/>
  <c r="L24" i="4" s="1"/>
  <c r="L16" i="4"/>
  <c r="L23" i="4" s="1"/>
  <c r="J18" i="4"/>
  <c r="J17" i="4"/>
  <c r="J24" i="4" s="1"/>
  <c r="J16" i="4"/>
  <c r="J23" i="4" s="1"/>
  <c r="B13" i="2"/>
  <c r="N11" i="4"/>
  <c r="L11" i="4"/>
  <c r="J11" i="4"/>
  <c r="L25" i="4" l="1"/>
  <c r="N25" i="4"/>
  <c r="O25" i="4" s="1"/>
  <c r="J25" i="4"/>
  <c r="B19" i="2" l="1"/>
  <c r="B20" i="2" s="1"/>
  <c r="B21" i="2" l="1"/>
  <c r="B22" i="2" s="1"/>
  <c r="B23" i="2" s="1"/>
  <c r="B7" i="3"/>
  <c r="B8" i="3" s="1"/>
  <c r="B9" i="3" s="1"/>
  <c r="B10" i="3" s="1"/>
  <c r="O16" i="4"/>
  <c r="O11" i="4"/>
  <c r="N15" i="4"/>
  <c r="L15" i="4"/>
  <c r="J15" i="4"/>
  <c r="G15" i="4"/>
  <c r="C21" i="2" l="1"/>
  <c r="C22" i="2"/>
  <c r="N8" i="4"/>
  <c r="L8" i="4"/>
  <c r="L22" i="4" s="1"/>
  <c r="J8" i="4"/>
  <c r="J22" i="4" s="1"/>
  <c r="B49" i="2"/>
  <c r="B60" i="2"/>
  <c r="C60" i="2" s="1"/>
  <c r="B32" i="2"/>
  <c r="C32" i="2" s="1"/>
  <c r="C20" i="2"/>
  <c r="C19" i="2"/>
  <c r="C18" i="2"/>
  <c r="B17" i="2"/>
  <c r="C15" i="2"/>
  <c r="B14" i="2"/>
  <c r="C13" i="2"/>
  <c r="C12" i="2"/>
  <c r="B10" i="2"/>
  <c r="C10" i="2" s="1"/>
  <c r="C9" i="2"/>
  <c r="C7" i="2"/>
  <c r="B6" i="2"/>
  <c r="B6" i="3"/>
  <c r="C5" i="3"/>
  <c r="B26" i="2"/>
  <c r="C26" i="2" s="1"/>
  <c r="B29" i="2"/>
  <c r="C29" i="2" s="1"/>
  <c r="B34" i="2"/>
  <c r="C34" i="2" s="1"/>
  <c r="B5" i="2"/>
  <c r="C8" i="3"/>
  <c r="C9" i="3"/>
  <c r="C10" i="3"/>
  <c r="B11" i="3"/>
  <c r="C11" i="3" s="1"/>
  <c r="B12" i="3"/>
  <c r="B31" i="3"/>
  <c r="C31" i="3" s="1"/>
  <c r="B36" i="3"/>
  <c r="C36" i="3" s="1"/>
  <c r="B66" i="3"/>
  <c r="C66" i="3" s="1"/>
  <c r="B69" i="3"/>
  <c r="C69" i="3" s="1"/>
  <c r="B74" i="3"/>
  <c r="C74" i="3" s="1"/>
  <c r="C7" i="3"/>
  <c r="C6" i="2" l="1"/>
  <c r="C8" i="2"/>
  <c r="C49" i="2"/>
  <c r="C51" i="2"/>
  <c r="C14" i="2"/>
  <c r="C16" i="2"/>
  <c r="C17" i="2"/>
  <c r="O8" i="4"/>
  <c r="N22" i="4"/>
  <c r="C5" i="2"/>
  <c r="C12" i="3"/>
  <c r="B13" i="3"/>
  <c r="B14" i="3" s="1"/>
  <c r="C6" i="3"/>
  <c r="E29" i="4"/>
  <c r="D29" i="4"/>
  <c r="G29" i="4"/>
  <c r="F29" i="4"/>
  <c r="L29" i="4"/>
  <c r="J29" i="4"/>
  <c r="N29" i="4"/>
  <c r="B24" i="2" l="1"/>
  <c r="C23" i="2"/>
  <c r="C13" i="3"/>
  <c r="C24" i="2" l="1"/>
  <c r="B25" i="2"/>
  <c r="C25" i="2" l="1"/>
  <c r="B15" i="3" l="1"/>
  <c r="C14" i="3"/>
  <c r="B16" i="3" l="1"/>
  <c r="C15" i="3"/>
  <c r="B17" i="3" l="1"/>
  <c r="B18" i="3" s="1"/>
  <c r="C16" i="3"/>
  <c r="C17" i="3" l="1"/>
  <c r="B19" i="3" l="1"/>
  <c r="B20" i="3" s="1"/>
  <c r="C18" i="3"/>
  <c r="C19" i="3" l="1"/>
  <c r="B21" i="3" l="1"/>
  <c r="B23" i="3" s="1"/>
  <c r="C23" i="3" s="1"/>
  <c r="C20" i="3"/>
  <c r="B22" i="3" l="1"/>
  <c r="C21" i="3"/>
  <c r="B24" i="3" l="1"/>
  <c r="C22" i="3"/>
  <c r="B25" i="3" l="1"/>
  <c r="C24" i="3"/>
  <c r="B26" i="3" l="1"/>
  <c r="C25" i="3"/>
  <c r="B27" i="3" l="1"/>
  <c r="B28" i="3" s="1"/>
  <c r="B29" i="3" s="1"/>
  <c r="C26" i="3"/>
  <c r="C27" i="3" l="1"/>
  <c r="C28" i="3" l="1"/>
  <c r="C27" i="2" l="1"/>
  <c r="B30" i="3"/>
  <c r="C29" i="3"/>
  <c r="B32" i="3" l="1"/>
  <c r="C30" i="3"/>
  <c r="B33" i="3" l="1"/>
  <c r="B34" i="3" s="1"/>
  <c r="C32" i="3"/>
  <c r="C33" i="3" l="1"/>
  <c r="B30" i="2" l="1"/>
  <c r="C28" i="2"/>
  <c r="C30" i="2" l="1"/>
  <c r="B35" i="3" l="1"/>
  <c r="B37" i="3" s="1"/>
  <c r="C34" i="3"/>
  <c r="B33" i="2" l="1"/>
  <c r="C31" i="2"/>
  <c r="C35" i="3"/>
  <c r="C33" i="2" l="1"/>
  <c r="B38" i="3" l="1"/>
  <c r="C37" i="3"/>
  <c r="B39" i="3" l="1"/>
  <c r="C38" i="3"/>
  <c r="B36" i="2" l="1"/>
  <c r="C35" i="2"/>
  <c r="B40" i="3"/>
  <c r="C39" i="3"/>
  <c r="B37" i="2" l="1"/>
  <c r="C36" i="2"/>
  <c r="B41" i="3"/>
  <c r="C40" i="3"/>
  <c r="B38" i="2" l="1"/>
  <c r="C37" i="2"/>
  <c r="B42" i="3"/>
  <c r="C41" i="3"/>
  <c r="B39" i="2" l="1"/>
  <c r="C38" i="2"/>
  <c r="B43" i="3"/>
  <c r="C42" i="3"/>
  <c r="B40" i="2" l="1"/>
  <c r="C39" i="2"/>
  <c r="B44" i="3"/>
  <c r="B45" i="3" s="1"/>
  <c r="B46" i="3" s="1"/>
  <c r="C43" i="3"/>
  <c r="B41" i="2" l="1"/>
  <c r="C40" i="2"/>
  <c r="B47" i="3"/>
  <c r="B48" i="3" s="1"/>
  <c r="C48" i="3" s="1"/>
  <c r="C45" i="3"/>
  <c r="C44" i="3"/>
  <c r="B42" i="2" l="1"/>
  <c r="C41" i="2"/>
  <c r="B49" i="3"/>
  <c r="B50" i="3" s="1"/>
  <c r="B51" i="3" s="1"/>
  <c r="B52" i="3" s="1"/>
  <c r="B53" i="3" s="1"/>
  <c r="C46" i="3"/>
  <c r="B43" i="2" l="1"/>
  <c r="C42" i="2"/>
  <c r="C50" i="3"/>
  <c r="C51" i="3"/>
  <c r="C49" i="3"/>
  <c r="C47" i="3"/>
  <c r="B44" i="2" l="1"/>
  <c r="C43" i="2"/>
  <c r="C52" i="3"/>
  <c r="B45" i="2" l="1"/>
  <c r="C44" i="2"/>
  <c r="B46" i="2" l="1"/>
  <c r="C45" i="2"/>
  <c r="B47" i="2" l="1"/>
  <c r="C46" i="2"/>
  <c r="B54" i="3"/>
  <c r="C53" i="3"/>
  <c r="B48" i="2" l="1"/>
  <c r="C47" i="2"/>
  <c r="B55" i="3"/>
  <c r="C54" i="3"/>
  <c r="C48" i="2" l="1"/>
  <c r="B56" i="3"/>
  <c r="C55" i="3"/>
  <c r="B57" i="3" l="1"/>
  <c r="C56" i="3"/>
  <c r="B58" i="3" l="1"/>
  <c r="C57" i="3"/>
  <c r="B59" i="3" l="1"/>
  <c r="C58" i="3"/>
  <c r="B60" i="3" l="1"/>
  <c r="C59" i="3"/>
  <c r="B61" i="3" l="1"/>
  <c r="C60" i="3"/>
  <c r="B62" i="3" l="1"/>
  <c r="C61" i="3"/>
  <c r="B63" i="3" l="1"/>
  <c r="C62" i="3"/>
  <c r="M20" i="4" l="1"/>
  <c r="M19" i="4"/>
  <c r="M21" i="4"/>
  <c r="M16" i="4"/>
  <c r="M15" i="4"/>
  <c r="M18" i="4"/>
  <c r="M17" i="4"/>
  <c r="B64" i="3"/>
  <c r="B65" i="3" s="1"/>
  <c r="B67" i="3" s="1"/>
  <c r="C63" i="3"/>
  <c r="C64" i="3" l="1"/>
  <c r="O15" i="4" l="1"/>
  <c r="O17" i="4"/>
  <c r="O18" i="4"/>
  <c r="O21" i="4"/>
  <c r="C65" i="3" l="1"/>
  <c r="B68" i="3" l="1"/>
  <c r="B70" i="3" s="1"/>
  <c r="C67" i="3"/>
  <c r="C50" i="2" l="1"/>
  <c r="C68" i="3"/>
  <c r="B53" i="2" l="1"/>
  <c r="C52" i="2"/>
  <c r="B71" i="3"/>
  <c r="B72" i="3" s="1"/>
  <c r="B73" i="3" s="1"/>
  <c r="C70" i="3"/>
  <c r="B54" i="2" l="1"/>
  <c r="C53" i="2"/>
  <c r="C71" i="3"/>
  <c r="B56" i="2" l="1"/>
  <c r="C54" i="2"/>
  <c r="C72" i="3"/>
  <c r="B57" i="2" l="1"/>
  <c r="C56" i="2"/>
  <c r="B75" i="3"/>
  <c r="C73" i="3"/>
  <c r="B58" i="2" l="1"/>
  <c r="C57" i="2"/>
  <c r="B76" i="3"/>
  <c r="C75" i="3"/>
  <c r="B59" i="2" l="1"/>
  <c r="C58" i="2"/>
  <c r="B77" i="3"/>
  <c r="C76" i="3"/>
  <c r="B62" i="2" l="1"/>
  <c r="C59" i="2"/>
  <c r="B78" i="3"/>
  <c r="C77" i="3"/>
  <c r="H12" i="4" l="1"/>
  <c r="H14" i="4"/>
  <c r="H13" i="4"/>
  <c r="H11" i="4"/>
  <c r="H10" i="4"/>
  <c r="H9" i="4"/>
  <c r="H8" i="4"/>
  <c r="C78" i="3"/>
  <c r="O22" i="4" l="1"/>
  <c r="O14" i="4"/>
  <c r="M23" i="4"/>
  <c r="M25" i="4"/>
  <c r="O10" i="4"/>
  <c r="M26" i="4"/>
  <c r="M22" i="4"/>
  <c r="M13" i="4"/>
  <c r="K13" i="4"/>
  <c r="I13" i="4" s="1"/>
  <c r="K9" i="4"/>
  <c r="I9" i="4" s="1"/>
  <c r="M9" i="4"/>
  <c r="M10" i="4"/>
  <c r="K10" i="4"/>
  <c r="I10" i="4" s="1"/>
  <c r="K12" i="4"/>
  <c r="I12" i="4" s="1"/>
  <c r="M12" i="4"/>
  <c r="K11" i="4"/>
  <c r="I11" i="4" s="1"/>
  <c r="M11" i="4"/>
  <c r="K8" i="4"/>
  <c r="I8" i="4" s="1"/>
  <c r="M8" i="4"/>
  <c r="M14" i="4"/>
  <c r="K14" i="4"/>
  <c r="I14" i="4" s="1"/>
  <c r="O28" i="4" l="1"/>
  <c r="O24" i="4"/>
  <c r="M24" i="4"/>
  <c r="H17" i="4" l="1"/>
  <c r="H19" i="4"/>
  <c r="H21" i="4"/>
  <c r="H20" i="4"/>
  <c r="H18" i="4"/>
  <c r="H16" i="4"/>
  <c r="H15" i="4"/>
  <c r="C61" i="2"/>
  <c r="K15" i="4" l="1"/>
  <c r="I15" i="4" s="1"/>
  <c r="H22" i="4"/>
  <c r="H29" i="4"/>
  <c r="M29" i="4" s="1"/>
  <c r="K16" i="4"/>
  <c r="I16" i="4" s="1"/>
  <c r="H23" i="4"/>
  <c r="K18" i="4"/>
  <c r="I18" i="4" s="1"/>
  <c r="H25" i="4"/>
  <c r="K20" i="4"/>
  <c r="I20" i="4" s="1"/>
  <c r="H27" i="4"/>
  <c r="K27" i="4" s="1"/>
  <c r="I27" i="4" s="1"/>
  <c r="K21" i="4"/>
  <c r="I21" i="4" s="1"/>
  <c r="H28" i="4"/>
  <c r="K19" i="4"/>
  <c r="I19" i="4" s="1"/>
  <c r="H26" i="4"/>
  <c r="K17" i="4"/>
  <c r="I17" i="4" s="1"/>
  <c r="H24" i="4"/>
  <c r="C62" i="2"/>
  <c r="K25" i="4" l="1"/>
  <c r="I25" i="4"/>
  <c r="K22" i="4"/>
  <c r="I22" i="4"/>
  <c r="K26" i="4"/>
  <c r="I26" i="4"/>
  <c r="I23" i="4"/>
  <c r="K23" i="4"/>
  <c r="K24" i="4"/>
  <c r="I24" i="4"/>
  <c r="M28" i="4"/>
  <c r="K28" i="4"/>
  <c r="I28" i="4" s="1"/>
  <c r="O29" i="4"/>
  <c r="K29" i="4"/>
  <c r="I2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김시원</author>
  </authors>
  <commentList>
    <comment ref="N49" authorId="0" shapeId="0" xr:uid="{00000000-0006-0000-0200-000001000000}">
      <text>
        <r>
          <rPr>
            <b/>
            <sz val="10"/>
            <color indexed="81"/>
            <rFont val="맑은 고딕"/>
            <family val="3"/>
            <charset val="129"/>
            <scheme val="minor"/>
          </rPr>
          <t>Y : 완료
N : 미완료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BJS</author>
  </authors>
  <commentList>
    <comment ref="H39" authorId="0" shapeId="0" xr:uid="{0FD4ACC4-7318-4A61-9FB5-268D008CB15F}">
      <text>
        <r>
          <rPr>
            <b/>
            <sz val="9"/>
            <color indexed="81"/>
            <rFont val="Tahoma"/>
            <family val="2"/>
          </rPr>
          <t>BJS:</t>
        </r>
        <r>
          <rPr>
            <sz val="9"/>
            <color indexed="81"/>
            <rFont val="Tahoma"/>
            <family val="2"/>
          </rPr>
          <t xml:space="preserve">
Control State </t>
        </r>
        <r>
          <rPr>
            <sz val="9"/>
            <color indexed="81"/>
            <rFont val="돋움"/>
            <family val="3"/>
            <charset val="129"/>
          </rPr>
          <t>변경되면</t>
        </r>
        <r>
          <rPr>
            <sz val="9"/>
            <color indexed="81"/>
            <rFont val="Tahoma"/>
            <family val="2"/>
          </rPr>
          <t xml:space="preserve"> </t>
        </r>
        <r>
          <rPr>
            <sz val="9"/>
            <color indexed="81"/>
            <rFont val="돋움"/>
            <family val="3"/>
            <charset val="129"/>
          </rPr>
          <t xml:space="preserve">보고
</t>
        </r>
        <r>
          <rPr>
            <sz val="9"/>
            <color indexed="81"/>
            <rFont val="Tahoma"/>
            <family val="2"/>
          </rPr>
          <t>0 TIME
1 CONTROLSTATE
2 REASONTEXT
3 OPERATORID</t>
        </r>
      </text>
    </comment>
    <comment ref="H40" authorId="0" shapeId="0" xr:uid="{28E4BFB5-662B-4FD7-8598-035EC2EB67B0}">
      <text>
        <r>
          <rPr>
            <b/>
            <sz val="9"/>
            <color indexed="81"/>
            <rFont val="Tahoma"/>
            <family val="2"/>
          </rPr>
          <t>BJS:</t>
        </r>
        <r>
          <rPr>
            <sz val="9"/>
            <color indexed="81"/>
            <rFont val="Tahoma"/>
            <family val="2"/>
          </rPr>
          <t xml:space="preserve">
Equipment State </t>
        </r>
        <r>
          <rPr>
            <sz val="9"/>
            <color indexed="81"/>
            <rFont val="돋움"/>
            <family val="3"/>
            <charset val="129"/>
          </rPr>
          <t>변경되면</t>
        </r>
        <r>
          <rPr>
            <sz val="9"/>
            <color indexed="81"/>
            <rFont val="Tahoma"/>
            <family val="2"/>
          </rPr>
          <t xml:space="preserve"> </t>
        </r>
        <r>
          <rPr>
            <sz val="9"/>
            <color indexed="81"/>
            <rFont val="돋움"/>
            <family val="3"/>
            <charset val="129"/>
          </rPr>
          <t xml:space="preserve">보고
</t>
        </r>
        <r>
          <rPr>
            <sz val="9"/>
            <color indexed="81"/>
            <rFont val="Tahoma"/>
            <family val="2"/>
          </rPr>
          <t>0 TIME
1 PREVEQPSTATE
2 CURREQPSTATE
3 ALARMID
4 ALARMCODE
5 ALARMTEXT
6 OPERATORID</t>
        </r>
      </text>
    </comment>
    <comment ref="H41" authorId="0" shapeId="0" xr:uid="{C1A0CB4F-3251-43CC-ACD8-156D8A03DA09}">
      <text>
        <r>
          <rPr>
            <b/>
            <sz val="9"/>
            <color indexed="81"/>
            <rFont val="Tahoma"/>
            <family val="2"/>
          </rPr>
          <t>BJS:</t>
        </r>
        <r>
          <rPr>
            <sz val="9"/>
            <color indexed="81"/>
            <rFont val="Tahoma"/>
            <family val="2"/>
          </rPr>
          <t xml:space="preserve">
Lot ID</t>
        </r>
        <r>
          <rPr>
            <sz val="9"/>
            <color indexed="81"/>
            <rFont val="돋움"/>
            <family val="3"/>
            <charset val="129"/>
          </rPr>
          <t>를</t>
        </r>
        <r>
          <rPr>
            <sz val="9"/>
            <color indexed="81"/>
            <rFont val="Tahoma"/>
            <family val="2"/>
          </rPr>
          <t xml:space="preserve"> Reading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0 TIME
1 LOTTYPE
2 LOTID
3 RECIPEID
4 OPERATIONMODE
5 OPERATORID</t>
        </r>
      </text>
    </comment>
    <comment ref="H42" authorId="0" shapeId="0" xr:uid="{47DA9AC7-B88F-4288-9221-085C214B3A8D}">
      <text>
        <r>
          <rPr>
            <b/>
            <sz val="9"/>
            <color indexed="81"/>
            <rFont val="Tahoma"/>
            <family val="2"/>
          </rPr>
          <t>BJS:</t>
        </r>
        <r>
          <rPr>
            <sz val="9"/>
            <color indexed="81"/>
            <rFont val="Tahoma"/>
            <family val="2"/>
          </rPr>
          <t xml:space="preserve">
Lot ID</t>
        </r>
        <r>
          <rPr>
            <sz val="9"/>
            <color indexed="81"/>
            <rFont val="돋움"/>
            <family val="3"/>
            <charset val="129"/>
          </rPr>
          <t>를</t>
        </r>
        <r>
          <rPr>
            <sz val="9"/>
            <color indexed="81"/>
            <rFont val="Tahoma"/>
            <family val="2"/>
          </rPr>
          <t xml:space="preserve"> Request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0 TIME
1 LOTTYPE
2 LOTID
3 RECIPEID
4 OPERATIONMODE
5 OPERATORID</t>
        </r>
      </text>
    </comment>
    <comment ref="H43" authorId="0" shapeId="0" xr:uid="{8DE2D2D8-F8C9-48F6-A8F4-F9AC5619CBA2}">
      <text>
        <r>
          <rPr>
            <b/>
            <sz val="9"/>
            <color indexed="81"/>
            <rFont val="Tahoma"/>
            <family val="2"/>
          </rPr>
          <t>BJS:</t>
        </r>
        <r>
          <rPr>
            <sz val="9"/>
            <color indexed="81"/>
            <rFont val="Tahoma"/>
            <family val="2"/>
          </rPr>
          <t xml:space="preserve">
Lot Start </t>
        </r>
        <r>
          <rPr>
            <sz val="9"/>
            <color indexed="81"/>
            <rFont val="돋움"/>
            <family val="3"/>
            <charset val="129"/>
          </rPr>
          <t>이벤트</t>
        </r>
        <r>
          <rPr>
            <sz val="9"/>
            <color indexed="81"/>
            <rFont val="Tahoma"/>
            <family val="2"/>
          </rPr>
          <t xml:space="preserve"> </t>
        </r>
        <r>
          <rPr>
            <sz val="9"/>
            <color indexed="81"/>
            <rFont val="돋움"/>
            <family val="3"/>
            <charset val="129"/>
          </rPr>
          <t xml:space="preserve">보고
</t>
        </r>
        <r>
          <rPr>
            <sz val="9"/>
            <color indexed="81"/>
            <rFont val="Tahoma"/>
            <family val="2"/>
          </rPr>
          <t>0 TIME
1 LOTID
2 PROCID
3 PRODID
4 RECIPEID
5 TOTALQTY
6 OPERATIONMODE
7 OPERATORID</t>
        </r>
      </text>
    </comment>
    <comment ref="H44" authorId="0" shapeId="0" xr:uid="{3D280652-D055-4C43-B7B5-B42142BB36DF}">
      <text>
        <r>
          <rPr>
            <b/>
            <sz val="9"/>
            <color indexed="81"/>
            <rFont val="Tahoma"/>
            <family val="2"/>
          </rPr>
          <t>BJS:</t>
        </r>
        <r>
          <rPr>
            <sz val="9"/>
            <color indexed="81"/>
            <rFont val="Tahoma"/>
            <family val="2"/>
          </rPr>
          <t xml:space="preserve">
Product</t>
        </r>
        <r>
          <rPr>
            <sz val="9"/>
            <color indexed="81"/>
            <rFont val="돋움"/>
            <family val="3"/>
            <charset val="129"/>
          </rPr>
          <t>의</t>
        </r>
        <r>
          <rPr>
            <sz val="9"/>
            <color indexed="81"/>
            <rFont val="Tahoma"/>
            <family val="2"/>
          </rPr>
          <t xml:space="preserve"> Product </t>
        </r>
        <r>
          <rPr>
            <sz val="9"/>
            <color indexed="81"/>
            <rFont val="돋움"/>
            <family val="3"/>
            <charset val="129"/>
          </rPr>
          <t>정보</t>
        </r>
        <r>
          <rPr>
            <sz val="9"/>
            <color indexed="81"/>
            <rFont val="Tahoma"/>
            <family val="2"/>
          </rPr>
          <t xml:space="preserve"> </t>
        </r>
        <r>
          <rPr>
            <sz val="9"/>
            <color indexed="81"/>
            <rFont val="돋움"/>
            <family val="3"/>
            <charset val="129"/>
          </rPr>
          <t>요청</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 xml:space="preserve">0 TIME
1 LOTID
2 PROCID
3 PRODID
4 PRODUCTID </t>
        </r>
        <r>
          <rPr>
            <sz val="9"/>
            <color indexed="81"/>
            <rFont val="돋움"/>
            <family val="3"/>
            <charset val="129"/>
          </rPr>
          <t>→</t>
        </r>
        <r>
          <rPr>
            <sz val="9"/>
            <color indexed="81"/>
            <rFont val="Tahoma"/>
            <family val="2"/>
          </rPr>
          <t xml:space="preserve"> MODULEID
5 OPERATIONMODE
6 OPERATORID</t>
        </r>
      </text>
    </comment>
    <comment ref="H45" authorId="0" shapeId="0" xr:uid="{BB84ED1C-AD15-4CAB-B8F0-C2407DC3A17C}">
      <text>
        <r>
          <rPr>
            <b/>
            <sz val="9"/>
            <color indexed="81"/>
            <rFont val="Tahoma"/>
            <family val="2"/>
          </rPr>
          <t>BJS:</t>
        </r>
        <r>
          <rPr>
            <sz val="9"/>
            <color indexed="81"/>
            <rFont val="Tahoma"/>
            <family val="2"/>
          </rPr>
          <t xml:space="preserve">
Tray </t>
        </r>
        <r>
          <rPr>
            <sz val="9"/>
            <color indexed="81"/>
            <rFont val="돋움"/>
            <family val="3"/>
            <charset val="129"/>
          </rPr>
          <t>내</t>
        </r>
        <r>
          <rPr>
            <sz val="9"/>
            <color indexed="81"/>
            <rFont val="Tahoma"/>
            <family val="2"/>
          </rPr>
          <t xml:space="preserve"> Product </t>
        </r>
        <r>
          <rPr>
            <sz val="9"/>
            <color indexed="81"/>
            <rFont val="돋움"/>
            <family val="3"/>
            <charset val="129"/>
          </rPr>
          <t>작업</t>
        </r>
        <r>
          <rPr>
            <sz val="9"/>
            <color indexed="81"/>
            <rFont val="Tahoma"/>
            <family val="2"/>
          </rPr>
          <t xml:space="preserve"> </t>
        </r>
        <r>
          <rPr>
            <sz val="9"/>
            <color indexed="81"/>
            <rFont val="돋움"/>
            <family val="3"/>
            <charset val="129"/>
          </rPr>
          <t>완료</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0 TIME
1 PORTID
2 LOTID
3 PROCID
4 PRODID
5 TRAYID
6 FROMMGZ
7 FROMTRAY
8 FROMPOCKET
9 TOMGZ
10 TOTRAY
11 TOPOCKET
12 MODULEID
13 RESULT
14 NGCODE
15 NGPOCKETID
16 OPERATIONMODE
17 OPERATORID
18 PROCESSDATAQTY
19 MODULE NAME APD#1
20 MODULE VALUE APD#1
⁝ ⁝
18+(2n-1) MODULE NAME APD#n
18+(2n) MODULE VALUE APD#n</t>
        </r>
      </text>
    </comment>
    <comment ref="H46" authorId="0" shapeId="0" xr:uid="{B0F18222-FDCC-42A6-9251-FC81FC4B72A9}">
      <text>
        <r>
          <rPr>
            <b/>
            <sz val="9"/>
            <color indexed="81"/>
            <rFont val="Tahoma"/>
            <family val="2"/>
          </rPr>
          <t>BJS:</t>
        </r>
        <r>
          <rPr>
            <sz val="9"/>
            <color indexed="81"/>
            <rFont val="Tahoma"/>
            <family val="2"/>
          </rPr>
          <t xml:space="preserve">
NG Tray </t>
        </r>
        <r>
          <rPr>
            <sz val="9"/>
            <color indexed="81"/>
            <rFont val="돋움"/>
            <family val="3"/>
            <charset val="129"/>
          </rPr>
          <t>내</t>
        </r>
        <r>
          <rPr>
            <sz val="9"/>
            <color indexed="81"/>
            <rFont val="Tahoma"/>
            <family val="2"/>
          </rPr>
          <t xml:space="preserve"> Product </t>
        </r>
        <r>
          <rPr>
            <sz val="9"/>
            <color indexed="81"/>
            <rFont val="돋움"/>
            <family val="3"/>
            <charset val="129"/>
          </rPr>
          <t>작업</t>
        </r>
        <r>
          <rPr>
            <sz val="9"/>
            <color indexed="81"/>
            <rFont val="Tahoma"/>
            <family val="2"/>
          </rPr>
          <t xml:space="preserve"> </t>
        </r>
        <r>
          <rPr>
            <sz val="9"/>
            <color indexed="81"/>
            <rFont val="돋움"/>
            <family val="3"/>
            <charset val="129"/>
          </rPr>
          <t>완료</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0 TIME
1 PORTID
2 LOTID
3 PROCID
4 PRODID
5 TRAYID
6 FROMMGZ
7 FROMTRAY
8 FROMPOCKET
9 TOMGZ
10 TOTRAY
11 TOPOCKET
12 MODULEID
13 RESULT
14 NGCODE
15 NGPOCKETID
16 OPERATIONMODE
17 OPERATORID
18 PROCESSDATAQTY
19 MODULE NAME APD#1
20 MODULE VALUE APD#1
⁝ ⁝
18+(2n-1) MODULE NAME APD#n
18+(2n) MODULE VALUE APD#n</t>
        </r>
      </text>
    </comment>
    <comment ref="H47" authorId="0" shapeId="0" xr:uid="{72A2955C-8E1E-4925-80F2-44FD3DB8C8F5}">
      <text>
        <r>
          <rPr>
            <b/>
            <sz val="9"/>
            <color indexed="81"/>
            <rFont val="Tahoma"/>
            <family val="2"/>
          </rPr>
          <t>BJS:</t>
        </r>
        <r>
          <rPr>
            <sz val="9"/>
            <color indexed="81"/>
            <rFont val="Tahoma"/>
            <family val="2"/>
          </rPr>
          <t xml:space="preserve">
Lot Completed </t>
        </r>
        <r>
          <rPr>
            <sz val="9"/>
            <color indexed="81"/>
            <rFont val="돋움"/>
            <family val="3"/>
            <charset val="129"/>
          </rPr>
          <t>이벤트</t>
        </r>
        <r>
          <rPr>
            <sz val="9"/>
            <color indexed="81"/>
            <rFont val="Tahoma"/>
            <family val="2"/>
          </rPr>
          <t xml:space="preserve"> </t>
        </r>
        <r>
          <rPr>
            <sz val="9"/>
            <color indexed="81"/>
            <rFont val="돋움"/>
            <family val="3"/>
            <charset val="129"/>
          </rPr>
          <t xml:space="preserve">보고
</t>
        </r>
        <r>
          <rPr>
            <sz val="9"/>
            <color indexed="81"/>
            <rFont val="Tahoma"/>
            <family val="2"/>
          </rPr>
          <t>0 TIME
1 LOTID
2 PROCID
3 PRODID
4 RECIPEID
5 TOTALQTY
6 INQTY
7 OUTQTY
8 NGQTY
9 ENDMODE
10 NG_LOT_FLAG
11 OPERATIONMODE
12 OPERATORID</t>
        </r>
      </text>
    </comment>
    <comment ref="H48" authorId="0" shapeId="0" xr:uid="{B211448C-43A6-4457-A914-CD9632B27B23}">
      <text>
        <r>
          <rPr>
            <b/>
            <sz val="9"/>
            <color indexed="81"/>
            <rFont val="Tahoma"/>
            <family val="2"/>
          </rPr>
          <t>BJS:</t>
        </r>
        <r>
          <rPr>
            <sz val="9"/>
            <color indexed="81"/>
            <rFont val="Tahoma"/>
            <family val="2"/>
          </rPr>
          <t xml:space="preserve">
NG Lot Completed </t>
        </r>
        <r>
          <rPr>
            <sz val="9"/>
            <color indexed="81"/>
            <rFont val="돋움"/>
            <family val="3"/>
            <charset val="129"/>
          </rPr>
          <t>이벤트</t>
        </r>
        <r>
          <rPr>
            <sz val="9"/>
            <color indexed="81"/>
            <rFont val="Tahoma"/>
            <family val="2"/>
          </rPr>
          <t xml:space="preserve"> </t>
        </r>
        <r>
          <rPr>
            <sz val="9"/>
            <color indexed="81"/>
            <rFont val="돋움"/>
            <family val="3"/>
            <charset val="129"/>
          </rPr>
          <t xml:space="preserve">보고
</t>
        </r>
        <r>
          <rPr>
            <sz val="9"/>
            <color indexed="81"/>
            <rFont val="Tahoma"/>
            <family val="2"/>
          </rPr>
          <t>0 TIME
1 LOTID
2 PROCID
3 PRODID
4 RECIPEID
5 TOTALQTY
6 INQTY
7 OUTQTY
8 NGQTY
9 ENDMODE
10 OPERATIONMODE
11 OPERATORID</t>
        </r>
      </text>
    </comment>
    <comment ref="H49" authorId="0" shapeId="0" xr:uid="{C8377895-78EC-4206-A338-ED4A30ADBEA0}">
      <text>
        <r>
          <rPr>
            <b/>
            <sz val="9"/>
            <color indexed="81"/>
            <rFont val="Tahoma"/>
            <family val="2"/>
          </rPr>
          <t>BJS:</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취소</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보고</t>
        </r>
        <r>
          <rPr>
            <sz val="9"/>
            <color indexed="81"/>
            <rFont val="Tahoma"/>
            <family val="2"/>
          </rPr>
          <t xml:space="preserve"> 
(</t>
        </r>
        <r>
          <rPr>
            <sz val="9"/>
            <color indexed="81"/>
            <rFont val="돋움"/>
            <family val="3"/>
            <charset val="129"/>
          </rPr>
          <t>레시피</t>
        </r>
        <r>
          <rPr>
            <sz val="9"/>
            <color indexed="81"/>
            <rFont val="Tahoma"/>
            <family val="2"/>
          </rPr>
          <t xml:space="preserve"> </t>
        </r>
        <r>
          <rPr>
            <sz val="9"/>
            <color indexed="81"/>
            <rFont val="돋움"/>
            <family val="3"/>
            <charset val="129"/>
          </rPr>
          <t>오토체인지</t>
        </r>
        <r>
          <rPr>
            <sz val="9"/>
            <color indexed="81"/>
            <rFont val="Tahoma"/>
            <family val="2"/>
          </rPr>
          <t xml:space="preserve"> </t>
        </r>
        <r>
          <rPr>
            <sz val="9"/>
            <color indexed="81"/>
            <rFont val="돋움"/>
            <family val="3"/>
            <charset val="129"/>
          </rPr>
          <t>불가시</t>
        </r>
        <r>
          <rPr>
            <sz val="9"/>
            <color indexed="81"/>
            <rFont val="Tahoma"/>
            <family val="2"/>
          </rPr>
          <t>)
0 TIME
1 ID
2 CANCELMODE
3 PORTTYPE
4 PORTID
5 OPERATORID</t>
        </r>
      </text>
    </comment>
    <comment ref="H50" authorId="0" shapeId="0" xr:uid="{8F82C3EC-B4E1-4704-88C4-963B13B6BF60}">
      <text>
        <r>
          <rPr>
            <b/>
            <sz val="9"/>
            <color indexed="81"/>
            <rFont val="Tahoma"/>
            <family val="2"/>
          </rPr>
          <t>BJS:</t>
        </r>
        <r>
          <rPr>
            <sz val="9"/>
            <color indexed="81"/>
            <rFont val="Tahoma"/>
            <family val="2"/>
          </rPr>
          <t xml:space="preserve">
Tray Processing </t>
        </r>
        <r>
          <rPr>
            <sz val="9"/>
            <color indexed="81"/>
            <rFont val="돋움"/>
            <family val="3"/>
            <charset val="129"/>
          </rPr>
          <t>이후</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취소</t>
        </r>
        <r>
          <rPr>
            <sz val="9"/>
            <color indexed="81"/>
            <rFont val="Tahoma"/>
            <family val="2"/>
          </rPr>
          <t xml:space="preserve"> (Abort)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0 TIME
1 LOTID
2 OPERATORID</t>
        </r>
      </text>
    </comment>
    <comment ref="H51" authorId="0" shapeId="0" xr:uid="{EC57D97F-56AE-41A5-A387-451B8C065D57}">
      <text>
        <r>
          <rPr>
            <b/>
            <sz val="9"/>
            <color indexed="81"/>
            <rFont val="Tahoma"/>
            <family val="2"/>
          </rPr>
          <t>BJS:</t>
        </r>
        <r>
          <rPr>
            <sz val="9"/>
            <color indexed="81"/>
            <rFont val="Tahoma"/>
            <family val="2"/>
          </rPr>
          <t xml:space="preserve">
</t>
        </r>
        <r>
          <rPr>
            <sz val="9"/>
            <color indexed="81"/>
            <rFont val="돋움"/>
            <family val="3"/>
            <charset val="129"/>
          </rPr>
          <t>설비에</t>
        </r>
        <r>
          <rPr>
            <sz val="9"/>
            <color indexed="81"/>
            <rFont val="Tahoma"/>
            <family val="2"/>
          </rPr>
          <t xml:space="preserve"> </t>
        </r>
        <r>
          <rPr>
            <sz val="9"/>
            <color indexed="81"/>
            <rFont val="돋움"/>
            <family val="3"/>
            <charset val="129"/>
          </rPr>
          <t>설정된</t>
        </r>
        <r>
          <rPr>
            <sz val="9"/>
            <color indexed="81"/>
            <rFont val="Tahoma"/>
            <family val="2"/>
          </rPr>
          <t xml:space="preserve"> </t>
        </r>
        <r>
          <rPr>
            <sz val="9"/>
            <color indexed="81"/>
            <rFont val="돋움"/>
            <family val="3"/>
            <charset val="129"/>
          </rPr>
          <t>시간을</t>
        </r>
        <r>
          <rPr>
            <sz val="9"/>
            <color indexed="81"/>
            <rFont val="Tahoma"/>
            <family val="2"/>
          </rPr>
          <t xml:space="preserve"> </t>
        </r>
        <r>
          <rPr>
            <sz val="9"/>
            <color indexed="81"/>
            <rFont val="돋움"/>
            <family val="3"/>
            <charset val="129"/>
          </rPr>
          <t>초과하는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 xml:space="preserve">보고
</t>
        </r>
        <r>
          <rPr>
            <sz val="9"/>
            <color indexed="81"/>
            <rFont val="Tahoma"/>
            <family val="2"/>
          </rPr>
          <t>(</t>
        </r>
        <r>
          <rPr>
            <sz val="9"/>
            <color indexed="81"/>
            <rFont val="돋움"/>
            <family val="3"/>
            <charset val="129"/>
          </rPr>
          <t>설비</t>
        </r>
        <r>
          <rPr>
            <sz val="9"/>
            <color indexed="81"/>
            <rFont val="Tahoma"/>
            <family val="2"/>
          </rPr>
          <t xml:space="preserve"> </t>
        </r>
        <r>
          <rPr>
            <sz val="9"/>
            <color indexed="81"/>
            <rFont val="돋움"/>
            <family val="3"/>
            <charset val="129"/>
          </rPr>
          <t>비가동</t>
        </r>
        <r>
          <rPr>
            <sz val="9"/>
            <color indexed="81"/>
            <rFont val="Tahoma"/>
            <family val="2"/>
          </rPr>
          <t xml:space="preserve"> </t>
        </r>
        <r>
          <rPr>
            <sz val="9"/>
            <color indexed="81"/>
            <rFont val="돋움"/>
            <family val="3"/>
            <charset val="129"/>
          </rPr>
          <t>시작시간</t>
        </r>
        <r>
          <rPr>
            <sz val="9"/>
            <color indexed="81"/>
            <rFont val="Tahoma"/>
            <family val="2"/>
          </rPr>
          <t xml:space="preserve"> / </t>
        </r>
        <r>
          <rPr>
            <sz val="9"/>
            <color indexed="81"/>
            <rFont val="돋움"/>
            <family val="3"/>
            <charset val="129"/>
          </rPr>
          <t>종료시간</t>
        </r>
        <r>
          <rPr>
            <sz val="9"/>
            <color indexed="81"/>
            <rFont val="Tahoma"/>
            <family val="2"/>
          </rPr>
          <t xml:space="preserve"> / </t>
        </r>
        <r>
          <rPr>
            <sz val="9"/>
            <color indexed="81"/>
            <rFont val="돋움"/>
            <family val="3"/>
            <charset val="129"/>
          </rPr>
          <t>사유</t>
        </r>
        <r>
          <rPr>
            <sz val="9"/>
            <color indexed="81"/>
            <rFont val="Tahoma"/>
            <family val="2"/>
          </rPr>
          <t>)
0 TIME
1 REASONCODE
2 OPERATORID</t>
        </r>
      </text>
    </comment>
    <comment ref="H52" authorId="0" shapeId="0" xr:uid="{4C297C94-EFE1-48B4-A892-6F4E612F865D}">
      <text>
        <r>
          <rPr>
            <b/>
            <sz val="9"/>
            <color indexed="81"/>
            <rFont val="Tahoma"/>
            <family val="2"/>
          </rPr>
          <t>BJS:</t>
        </r>
        <r>
          <rPr>
            <sz val="9"/>
            <color indexed="81"/>
            <rFont val="Tahoma"/>
            <family val="2"/>
          </rPr>
          <t xml:space="preserve">
</t>
        </r>
        <r>
          <rPr>
            <sz val="9"/>
            <color indexed="81"/>
            <rFont val="돋움"/>
            <family val="3"/>
            <charset val="129"/>
          </rPr>
          <t>설비에</t>
        </r>
        <r>
          <rPr>
            <sz val="9"/>
            <color indexed="81"/>
            <rFont val="Tahoma"/>
            <family val="2"/>
          </rPr>
          <t xml:space="preserve"> </t>
        </r>
        <r>
          <rPr>
            <sz val="9"/>
            <color indexed="81"/>
            <rFont val="돋움"/>
            <family val="3"/>
            <charset val="129"/>
          </rPr>
          <t>설정된</t>
        </r>
        <r>
          <rPr>
            <sz val="9"/>
            <color indexed="81"/>
            <rFont val="Tahoma"/>
            <family val="2"/>
          </rPr>
          <t xml:space="preserve"> </t>
        </r>
        <r>
          <rPr>
            <sz val="9"/>
            <color indexed="81"/>
            <rFont val="돋움"/>
            <family val="3"/>
            <charset val="129"/>
          </rPr>
          <t>시간을</t>
        </r>
        <r>
          <rPr>
            <sz val="9"/>
            <color indexed="81"/>
            <rFont val="Tahoma"/>
            <family val="2"/>
          </rPr>
          <t xml:space="preserve"> </t>
        </r>
        <r>
          <rPr>
            <sz val="9"/>
            <color indexed="81"/>
            <rFont val="돋움"/>
            <family val="3"/>
            <charset val="129"/>
          </rPr>
          <t>초과하는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 xml:space="preserve">보고
</t>
        </r>
        <r>
          <rPr>
            <sz val="9"/>
            <color indexed="81"/>
            <rFont val="Tahoma"/>
            <family val="2"/>
          </rPr>
          <t>(</t>
        </r>
        <r>
          <rPr>
            <sz val="9"/>
            <color indexed="81"/>
            <rFont val="돋움"/>
            <family val="3"/>
            <charset val="129"/>
          </rPr>
          <t>설비</t>
        </r>
        <r>
          <rPr>
            <sz val="9"/>
            <color indexed="81"/>
            <rFont val="Tahoma"/>
            <family val="2"/>
          </rPr>
          <t xml:space="preserve"> </t>
        </r>
        <r>
          <rPr>
            <sz val="9"/>
            <color indexed="81"/>
            <rFont val="돋움"/>
            <family val="3"/>
            <charset val="129"/>
          </rPr>
          <t>비가동</t>
        </r>
        <r>
          <rPr>
            <sz val="9"/>
            <color indexed="81"/>
            <rFont val="Tahoma"/>
            <family val="2"/>
          </rPr>
          <t xml:space="preserve"> </t>
        </r>
        <r>
          <rPr>
            <sz val="9"/>
            <color indexed="81"/>
            <rFont val="돋움"/>
            <family val="3"/>
            <charset val="129"/>
          </rPr>
          <t>시작시간</t>
        </r>
        <r>
          <rPr>
            <sz val="9"/>
            <color indexed="81"/>
            <rFont val="Tahoma"/>
            <family val="2"/>
          </rPr>
          <t xml:space="preserve"> / </t>
        </r>
        <r>
          <rPr>
            <sz val="9"/>
            <color indexed="81"/>
            <rFont val="돋움"/>
            <family val="3"/>
            <charset val="129"/>
          </rPr>
          <t>종료시간</t>
        </r>
        <r>
          <rPr>
            <sz val="9"/>
            <color indexed="81"/>
            <rFont val="Tahoma"/>
            <family val="2"/>
          </rPr>
          <t xml:space="preserve"> / </t>
        </r>
        <r>
          <rPr>
            <sz val="9"/>
            <color indexed="81"/>
            <rFont val="돋움"/>
            <family val="3"/>
            <charset val="129"/>
          </rPr>
          <t>사유</t>
        </r>
        <r>
          <rPr>
            <sz val="9"/>
            <color indexed="81"/>
            <rFont val="Tahoma"/>
            <family val="2"/>
          </rPr>
          <t>)
0 TIME
1 REASONCODE
2 OPERATORID</t>
        </r>
      </text>
    </comment>
    <comment ref="H53" authorId="0" shapeId="0" xr:uid="{BED24295-5319-4CFC-835A-3C78B917B7F7}">
      <text>
        <r>
          <rPr>
            <b/>
            <sz val="9"/>
            <color indexed="81"/>
            <rFont val="Tahoma"/>
            <family val="2"/>
          </rPr>
          <t>BJS:</t>
        </r>
        <r>
          <rPr>
            <sz val="9"/>
            <color indexed="81"/>
            <rFont val="Tahoma"/>
            <family val="2"/>
          </rPr>
          <t xml:space="preserve">
Terminal Message </t>
        </r>
        <r>
          <rPr>
            <sz val="9"/>
            <color indexed="81"/>
            <rFont val="돋움"/>
            <family val="3"/>
            <charset val="129"/>
          </rPr>
          <t>확인</t>
        </r>
        <r>
          <rPr>
            <sz val="9"/>
            <color indexed="81"/>
            <rFont val="Tahoma"/>
            <family val="2"/>
          </rPr>
          <t xml:space="preserve"> Button Click </t>
        </r>
        <r>
          <rPr>
            <sz val="9"/>
            <color indexed="81"/>
            <rFont val="돋움"/>
            <family val="3"/>
            <charset val="129"/>
          </rPr>
          <t>시</t>
        </r>
        <r>
          <rPr>
            <sz val="9"/>
            <color indexed="81"/>
            <rFont val="Tahoma"/>
            <family val="2"/>
          </rPr>
          <t xml:space="preserve"> </t>
        </r>
        <r>
          <rPr>
            <sz val="9"/>
            <color indexed="81"/>
            <rFont val="돋움"/>
            <family val="3"/>
            <charset val="129"/>
          </rPr>
          <t xml:space="preserve">보고
</t>
        </r>
        <r>
          <rPr>
            <sz val="9"/>
            <color indexed="81"/>
            <rFont val="Tahoma"/>
            <family val="2"/>
          </rPr>
          <t>(</t>
        </r>
        <r>
          <rPr>
            <sz val="9"/>
            <color indexed="81"/>
            <rFont val="돋움"/>
            <family val="3"/>
            <charset val="129"/>
          </rPr>
          <t>설비는</t>
        </r>
        <r>
          <rPr>
            <sz val="9"/>
            <color indexed="81"/>
            <rFont val="Tahoma"/>
            <family val="2"/>
          </rPr>
          <t xml:space="preserve"> Terminal Message</t>
        </r>
        <r>
          <rPr>
            <sz val="9"/>
            <color indexed="81"/>
            <rFont val="돋움"/>
            <family val="3"/>
            <charset val="129"/>
          </rPr>
          <t>를</t>
        </r>
        <r>
          <rPr>
            <sz val="9"/>
            <color indexed="81"/>
            <rFont val="Tahoma"/>
            <family val="2"/>
          </rPr>
          <t xml:space="preserve"> </t>
        </r>
        <r>
          <rPr>
            <sz val="9"/>
            <color indexed="81"/>
            <rFont val="돋움"/>
            <family val="3"/>
            <charset val="129"/>
          </rPr>
          <t>화면에</t>
        </r>
        <r>
          <rPr>
            <sz val="9"/>
            <color indexed="81"/>
            <rFont val="Tahoma"/>
            <family val="2"/>
          </rPr>
          <t xml:space="preserve"> </t>
        </r>
        <r>
          <rPr>
            <sz val="9"/>
            <color indexed="81"/>
            <rFont val="돋움"/>
            <family val="3"/>
            <charset val="129"/>
          </rPr>
          <t>표시하고</t>
        </r>
        <r>
          <rPr>
            <sz val="9"/>
            <color indexed="81"/>
            <rFont val="Tahoma"/>
            <family val="2"/>
          </rPr>
          <t xml:space="preserve">, 
</t>
        </r>
        <r>
          <rPr>
            <sz val="9"/>
            <color indexed="81"/>
            <rFont val="돋움"/>
            <family val="3"/>
            <charset val="129"/>
          </rPr>
          <t>수신한</t>
        </r>
        <r>
          <rPr>
            <sz val="9"/>
            <color indexed="81"/>
            <rFont val="Tahoma"/>
            <family val="2"/>
          </rPr>
          <t xml:space="preserve"> Terminal Message </t>
        </r>
        <r>
          <rPr>
            <sz val="9"/>
            <color indexed="81"/>
            <rFont val="돋움"/>
            <family val="3"/>
            <charset val="129"/>
          </rPr>
          <t>이력</t>
        </r>
        <r>
          <rPr>
            <sz val="9"/>
            <color indexed="81"/>
            <rFont val="Tahoma"/>
            <family val="2"/>
          </rPr>
          <t xml:space="preserve"> </t>
        </r>
        <r>
          <rPr>
            <sz val="9"/>
            <color indexed="81"/>
            <rFont val="돋움"/>
            <family val="3"/>
            <charset val="129"/>
          </rPr>
          <t>관리함</t>
        </r>
        <r>
          <rPr>
            <sz val="9"/>
            <color indexed="81"/>
            <rFont val="Tahoma"/>
            <family val="2"/>
          </rPr>
          <t>)
0 TIME
1 TERMINALMSGACK
2 OPERATORID</t>
        </r>
      </text>
    </comment>
    <comment ref="H54" authorId="0" shapeId="0" xr:uid="{09F06F2D-0CAE-450D-9165-E0C46A29A24C}">
      <text>
        <r>
          <rPr>
            <b/>
            <sz val="9"/>
            <color indexed="81"/>
            <rFont val="Tahoma"/>
            <family val="2"/>
          </rPr>
          <t>BJS:</t>
        </r>
        <r>
          <rPr>
            <sz val="9"/>
            <color indexed="81"/>
            <rFont val="Tahoma"/>
            <family val="2"/>
          </rPr>
          <t xml:space="preserve">
Equipment State </t>
        </r>
        <r>
          <rPr>
            <sz val="9"/>
            <color indexed="81"/>
            <rFont val="돋움"/>
            <family val="3"/>
            <charset val="129"/>
          </rPr>
          <t>변경되면</t>
        </r>
        <r>
          <rPr>
            <sz val="9"/>
            <color indexed="81"/>
            <rFont val="Tahoma"/>
            <family val="2"/>
          </rPr>
          <t xml:space="preserve"> </t>
        </r>
        <r>
          <rPr>
            <sz val="9"/>
            <color indexed="81"/>
            <rFont val="돋움"/>
            <family val="3"/>
            <charset val="129"/>
          </rPr>
          <t xml:space="preserve">보고
</t>
        </r>
        <r>
          <rPr>
            <sz val="9"/>
            <color indexed="81"/>
            <rFont val="Tahoma"/>
            <family val="2"/>
          </rPr>
          <t>0 TIME
1 OPERATORID
2 PREVNEWEQPSTATE
2 CURRNEWEQPSTATE
3 ALARMLISTQTY
4 ALARMID#1
5 ALARMCATEGORY#1
6 ALARMTEXT#1
⁝ ⁝
3+(3n-2) ALARMID#n
3+(3n-1) ALARMCATEGORY#n
3+(3n) ALARMTEXT#n</t>
        </r>
      </text>
    </comment>
    <comment ref="H55" authorId="0" shapeId="0" xr:uid="{84FFAFE1-B785-483C-A8E6-91F4F3E77A85}">
      <text>
        <r>
          <rPr>
            <b/>
            <sz val="9"/>
            <color indexed="81"/>
            <rFont val="Tahoma"/>
            <family val="2"/>
          </rPr>
          <t>BJS:</t>
        </r>
        <r>
          <rPr>
            <sz val="9"/>
            <color indexed="81"/>
            <rFont val="Tahoma"/>
            <family val="2"/>
          </rPr>
          <t xml:space="preserve">
</t>
        </r>
        <r>
          <rPr>
            <sz val="9"/>
            <color indexed="81"/>
            <rFont val="돋움"/>
            <family val="3"/>
            <charset val="129"/>
          </rPr>
          <t>설비</t>
        </r>
        <r>
          <rPr>
            <sz val="9"/>
            <color indexed="81"/>
            <rFont val="Tahoma"/>
            <family val="2"/>
          </rPr>
          <t xml:space="preserve"> Access mode(OP, Maint, Eng_Vendor, Eng_MI, Engineer, Admin)</t>
        </r>
        <r>
          <rPr>
            <sz val="9"/>
            <color indexed="81"/>
            <rFont val="돋움"/>
            <family val="3"/>
            <charset val="129"/>
          </rPr>
          <t>가</t>
        </r>
        <r>
          <rPr>
            <sz val="9"/>
            <color indexed="81"/>
            <rFont val="Tahoma"/>
            <family val="2"/>
          </rPr>
          <t xml:space="preserve"> </t>
        </r>
        <r>
          <rPr>
            <sz val="9"/>
            <color indexed="81"/>
            <rFont val="돋움"/>
            <family val="3"/>
            <charset val="129"/>
          </rPr>
          <t>변경되면</t>
        </r>
        <r>
          <rPr>
            <sz val="9"/>
            <color indexed="81"/>
            <rFont val="Tahoma"/>
            <family val="2"/>
          </rPr>
          <t xml:space="preserve"> </t>
        </r>
        <r>
          <rPr>
            <sz val="9"/>
            <color indexed="81"/>
            <rFont val="돋움"/>
            <family val="3"/>
            <charset val="129"/>
          </rPr>
          <t xml:space="preserve">보고
</t>
        </r>
        <r>
          <rPr>
            <sz val="9"/>
            <color indexed="81"/>
            <rFont val="Tahoma"/>
            <family val="2"/>
          </rPr>
          <t>0 TIME
1 EQUIPMENTACCESSMODE
2 OPERATORID</t>
        </r>
      </text>
    </comment>
    <comment ref="H56" authorId="0" shapeId="0" xr:uid="{52146A5C-81EE-485A-9199-448CE15A65D0}">
      <text>
        <r>
          <rPr>
            <b/>
            <sz val="9"/>
            <color indexed="81"/>
            <rFont val="Tahoma"/>
            <family val="2"/>
          </rPr>
          <t>BJS:</t>
        </r>
        <r>
          <rPr>
            <sz val="9"/>
            <color indexed="81"/>
            <rFont val="Tahoma"/>
            <family val="2"/>
          </rPr>
          <t xml:space="preserve">
Unit(</t>
        </r>
        <r>
          <rPr>
            <sz val="9"/>
            <color indexed="81"/>
            <rFont val="돋움"/>
            <family val="3"/>
            <charset val="129"/>
          </rPr>
          <t>설비모듈</t>
        </r>
        <r>
          <rPr>
            <sz val="9"/>
            <color indexed="81"/>
            <rFont val="Tahoma"/>
            <family val="2"/>
          </rPr>
          <t>)</t>
        </r>
        <r>
          <rPr>
            <sz val="9"/>
            <color indexed="81"/>
            <rFont val="돋움"/>
            <family val="3"/>
            <charset val="129"/>
          </rPr>
          <t>별</t>
        </r>
        <r>
          <rPr>
            <sz val="9"/>
            <color indexed="81"/>
            <rFont val="Tahoma"/>
            <family val="2"/>
          </rPr>
          <t xml:space="preserve"> Equipment State </t>
        </r>
        <r>
          <rPr>
            <sz val="9"/>
            <color indexed="81"/>
            <rFont val="돋움"/>
            <family val="3"/>
            <charset val="129"/>
          </rPr>
          <t>변경되면</t>
        </r>
        <r>
          <rPr>
            <sz val="9"/>
            <color indexed="81"/>
            <rFont val="Tahoma"/>
            <family val="2"/>
          </rPr>
          <t xml:space="preserve"> </t>
        </r>
        <r>
          <rPr>
            <sz val="9"/>
            <color indexed="81"/>
            <rFont val="돋움"/>
            <family val="3"/>
            <charset val="129"/>
          </rPr>
          <t xml:space="preserve">보고
</t>
        </r>
        <r>
          <rPr>
            <sz val="9"/>
            <color indexed="81"/>
            <rFont val="Tahoma"/>
            <family val="2"/>
          </rPr>
          <t>0 TIME
1 OPERATORID
2 UNITLISTQTY
3 UNITID#1
4 UNITSTATE#1
⁝ ⁝
2+(2n-1) UNITID#n
2+(2n) UNITSTATE#n</t>
        </r>
      </text>
    </comment>
    <comment ref="H57" authorId="0" shapeId="0" xr:uid="{43322B9C-CE27-4A16-B4EB-11A166FF57BB}">
      <text>
        <r>
          <rPr>
            <b/>
            <sz val="9"/>
            <color indexed="81"/>
            <rFont val="Tahoma"/>
            <family val="2"/>
          </rPr>
          <t>BJS:</t>
        </r>
        <r>
          <rPr>
            <sz val="9"/>
            <color indexed="81"/>
            <rFont val="Tahoma"/>
            <family val="2"/>
          </rPr>
          <t xml:space="preserve">
Unit(</t>
        </r>
        <r>
          <rPr>
            <sz val="9"/>
            <color indexed="81"/>
            <rFont val="돋움"/>
            <family val="3"/>
            <charset val="129"/>
          </rPr>
          <t>설비모듈</t>
        </r>
        <r>
          <rPr>
            <sz val="9"/>
            <color indexed="81"/>
            <rFont val="Tahoma"/>
            <family val="2"/>
          </rPr>
          <t>)</t>
        </r>
        <r>
          <rPr>
            <sz val="9"/>
            <color indexed="81"/>
            <rFont val="돋움"/>
            <family val="3"/>
            <charset val="129"/>
          </rPr>
          <t>별</t>
        </r>
        <r>
          <rPr>
            <sz val="9"/>
            <color indexed="81"/>
            <rFont val="Tahoma"/>
            <family val="2"/>
          </rPr>
          <t xml:space="preserve"> </t>
        </r>
        <r>
          <rPr>
            <sz val="9"/>
            <color indexed="81"/>
            <rFont val="돋움"/>
            <family val="3"/>
            <charset val="129"/>
          </rPr>
          <t>진행한</t>
        </r>
        <r>
          <rPr>
            <sz val="9"/>
            <color indexed="81"/>
            <rFont val="Tahoma"/>
            <family val="2"/>
          </rPr>
          <t xml:space="preserve"> </t>
        </r>
        <r>
          <rPr>
            <sz val="9"/>
            <color indexed="81"/>
            <rFont val="돋움"/>
            <family val="3"/>
            <charset val="129"/>
          </rPr>
          <t>자재</t>
        </r>
        <r>
          <rPr>
            <sz val="9"/>
            <color indexed="81"/>
            <rFont val="Tahoma"/>
            <family val="2"/>
          </rPr>
          <t xml:space="preserve"> </t>
        </r>
        <r>
          <rPr>
            <sz val="9"/>
            <color indexed="81"/>
            <rFont val="돋움"/>
            <family val="3"/>
            <charset val="129"/>
          </rPr>
          <t>수량을</t>
        </r>
        <r>
          <rPr>
            <sz val="9"/>
            <color indexed="81"/>
            <rFont val="Tahoma"/>
            <family val="2"/>
          </rPr>
          <t xml:space="preserve"> </t>
        </r>
        <r>
          <rPr>
            <sz val="9"/>
            <color indexed="81"/>
            <rFont val="돋움"/>
            <family val="3"/>
            <charset val="129"/>
          </rPr>
          <t xml:space="preserve">보고
</t>
        </r>
        <r>
          <rPr>
            <sz val="9"/>
            <color indexed="81"/>
            <rFont val="Tahoma"/>
            <family val="2"/>
          </rPr>
          <t>0 TIME
1 OPERATORID
2 UNITID
3 MATERIALCOUNTLISTQTY
4 MATERIALTYPE#1
5 SLOTNO#1
6 INPUTMATERIALCOUNT#1
7 GOODMATERIALCOUNT#1
8 NGMATERIALCOUNT#1
⁝ ⁝
3+(5n-4) MATERIALTYPE#n
3+(5n-3) SLOTNO#n
3+(5n-2) INPUTMATERIALCOUNT#n
3+(5n-1) GOODMATERIALCOUNT#n
3+(5n) NGMATERIALCOUNT#n</t>
        </r>
      </text>
    </comment>
    <comment ref="H62" authorId="0" shapeId="0" xr:uid="{779340C8-15D0-424E-9B64-26BF8B5F881E}">
      <text>
        <r>
          <rPr>
            <b/>
            <sz val="9"/>
            <color indexed="81"/>
            <rFont val="Tahoma"/>
            <family val="2"/>
          </rPr>
          <t>BJS:</t>
        </r>
        <r>
          <rPr>
            <sz val="9"/>
            <color indexed="81"/>
            <rFont val="Tahoma"/>
            <family val="2"/>
          </rPr>
          <t xml:space="preserve">
Down </t>
        </r>
        <r>
          <rPr>
            <sz val="9"/>
            <color indexed="81"/>
            <rFont val="돋움"/>
            <family val="3"/>
            <charset val="129"/>
          </rPr>
          <t>발생</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조치내역</t>
        </r>
        <r>
          <rPr>
            <sz val="9"/>
            <color indexed="81"/>
            <rFont val="Tahoma"/>
            <family val="2"/>
          </rPr>
          <t xml:space="preserve"> </t>
        </r>
        <r>
          <rPr>
            <sz val="9"/>
            <color indexed="81"/>
            <rFont val="돋움"/>
            <family val="3"/>
            <charset val="129"/>
          </rPr>
          <t xml:space="preserve">보고
</t>
        </r>
        <r>
          <rPr>
            <sz val="9"/>
            <color indexed="81"/>
            <rFont val="Tahoma"/>
            <family val="2"/>
          </rPr>
          <t>0 TIME
1 ACTIONCODE
2 ACTIONDESCRIPTION
3 DOWNSTARTTIME
4 DOWNENDTIME
5 OPERATORID
6 ALARMLISTQTY
7 ALARMID#1
8 ALARMCATEGORY#1
9 ALARMTEXT#1
⁝ ⁝
6+(3n-2) ALARMID#n
6+(3n-1) ALARMCATEGORY#n
6+(3n) ALARMTEXT#n</t>
        </r>
      </text>
    </comment>
    <comment ref="H63" authorId="0" shapeId="0" xr:uid="{DB028A3C-A3FD-4681-A424-CE252B23A29D}">
      <text>
        <r>
          <rPr>
            <b/>
            <sz val="9"/>
            <color indexed="81"/>
            <rFont val="Tahoma"/>
            <family val="2"/>
          </rPr>
          <t>BJS:</t>
        </r>
        <r>
          <rPr>
            <sz val="9"/>
            <color indexed="81"/>
            <rFont val="Tahoma"/>
            <family val="2"/>
          </rPr>
          <t xml:space="preserve">
</t>
        </r>
        <r>
          <rPr>
            <sz val="9"/>
            <color indexed="81"/>
            <rFont val="돋움"/>
            <family val="3"/>
            <charset val="129"/>
          </rPr>
          <t>설비에</t>
        </r>
        <r>
          <rPr>
            <sz val="9"/>
            <color indexed="81"/>
            <rFont val="Tahoma"/>
            <family val="2"/>
          </rPr>
          <t xml:space="preserve"> </t>
        </r>
        <r>
          <rPr>
            <sz val="9"/>
            <color indexed="81"/>
            <rFont val="돋움"/>
            <family val="3"/>
            <charset val="129"/>
          </rPr>
          <t>설정된</t>
        </r>
        <r>
          <rPr>
            <sz val="9"/>
            <color indexed="81"/>
            <rFont val="Tahoma"/>
            <family val="2"/>
          </rPr>
          <t xml:space="preserve"> </t>
        </r>
        <r>
          <rPr>
            <sz val="9"/>
            <color indexed="81"/>
            <rFont val="돋움"/>
            <family val="3"/>
            <charset val="129"/>
          </rPr>
          <t>시간을</t>
        </r>
        <r>
          <rPr>
            <sz val="9"/>
            <color indexed="81"/>
            <rFont val="Tahoma"/>
            <family val="2"/>
          </rPr>
          <t xml:space="preserve"> </t>
        </r>
        <r>
          <rPr>
            <sz val="9"/>
            <color indexed="81"/>
            <rFont val="돋움"/>
            <family val="3"/>
            <charset val="129"/>
          </rPr>
          <t>초과하는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 xml:space="preserve">보고
</t>
        </r>
        <r>
          <rPr>
            <sz val="9"/>
            <color indexed="81"/>
            <rFont val="Tahoma"/>
            <family val="2"/>
          </rPr>
          <t>(</t>
        </r>
        <r>
          <rPr>
            <sz val="9"/>
            <color indexed="81"/>
            <rFont val="돋움"/>
            <family val="3"/>
            <charset val="129"/>
          </rPr>
          <t>설비</t>
        </r>
        <r>
          <rPr>
            <sz val="9"/>
            <color indexed="81"/>
            <rFont val="Tahoma"/>
            <family val="2"/>
          </rPr>
          <t xml:space="preserve"> </t>
        </r>
        <r>
          <rPr>
            <sz val="9"/>
            <color indexed="81"/>
            <rFont val="돋움"/>
            <family val="3"/>
            <charset val="129"/>
          </rPr>
          <t>비가동</t>
        </r>
        <r>
          <rPr>
            <sz val="9"/>
            <color indexed="81"/>
            <rFont val="Tahoma"/>
            <family val="2"/>
          </rPr>
          <t xml:space="preserve"> </t>
        </r>
        <r>
          <rPr>
            <sz val="9"/>
            <color indexed="81"/>
            <rFont val="돋움"/>
            <family val="3"/>
            <charset val="129"/>
          </rPr>
          <t>시작시간</t>
        </r>
        <r>
          <rPr>
            <sz val="9"/>
            <color indexed="81"/>
            <rFont val="Tahoma"/>
            <family val="2"/>
          </rPr>
          <t xml:space="preserve"> / </t>
        </r>
        <r>
          <rPr>
            <sz val="9"/>
            <color indexed="81"/>
            <rFont val="돋움"/>
            <family val="3"/>
            <charset val="129"/>
          </rPr>
          <t>종료시간</t>
        </r>
        <r>
          <rPr>
            <sz val="9"/>
            <color indexed="81"/>
            <rFont val="Tahoma"/>
            <family val="2"/>
          </rPr>
          <t xml:space="preserve"> / </t>
        </r>
        <r>
          <rPr>
            <sz val="9"/>
            <color indexed="81"/>
            <rFont val="돋움"/>
            <family val="3"/>
            <charset val="129"/>
          </rPr>
          <t>사유</t>
        </r>
        <r>
          <rPr>
            <sz val="9"/>
            <color indexed="81"/>
            <rFont val="Tahoma"/>
            <family val="2"/>
          </rPr>
          <t>)
0 IDLESTARTTIME
1 IDLEENDTIME
2 IDLECODE
3 IDLETEXT
4 IDLENOTE
5 OPERATORID</t>
        </r>
      </text>
    </comment>
    <comment ref="H64" authorId="0" shapeId="0" xr:uid="{6532C1F2-8537-4354-8823-DBFEAA43E12C}">
      <text>
        <r>
          <rPr>
            <b/>
            <sz val="9"/>
            <color indexed="81"/>
            <rFont val="Tahoma"/>
            <family val="2"/>
          </rPr>
          <t>BJS:</t>
        </r>
        <r>
          <rPr>
            <sz val="9"/>
            <color indexed="81"/>
            <rFont val="Tahoma"/>
            <family val="2"/>
          </rPr>
          <t xml:space="preserve">
LOT</t>
        </r>
        <r>
          <rPr>
            <sz val="9"/>
            <color indexed="81"/>
            <rFont val="돋움"/>
            <family val="3"/>
            <charset val="129"/>
          </rPr>
          <t>완공시</t>
        </r>
        <r>
          <rPr>
            <sz val="9"/>
            <color indexed="81"/>
            <rFont val="Tahoma"/>
            <family val="2"/>
          </rPr>
          <t xml:space="preserve"> </t>
        </r>
        <r>
          <rPr>
            <sz val="9"/>
            <color indexed="81"/>
            <rFont val="돋움"/>
            <family val="3"/>
            <charset val="129"/>
          </rPr>
          <t>설비에</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각</t>
        </r>
        <r>
          <rPr>
            <sz val="9"/>
            <color indexed="81"/>
            <rFont val="Tahoma"/>
            <family val="2"/>
          </rPr>
          <t xml:space="preserve"> 
Unit</t>
        </r>
        <r>
          <rPr>
            <sz val="9"/>
            <color indexed="81"/>
            <rFont val="돋움"/>
            <family val="3"/>
            <charset val="129"/>
          </rPr>
          <t>의</t>
        </r>
        <r>
          <rPr>
            <sz val="9"/>
            <color indexed="81"/>
            <rFont val="Tahoma"/>
            <family val="2"/>
          </rPr>
          <t xml:space="preserve"> Tact/Cycle Time</t>
        </r>
        <r>
          <rPr>
            <sz val="9"/>
            <color indexed="81"/>
            <rFont val="돋움"/>
            <family val="3"/>
            <charset val="129"/>
          </rPr>
          <t xml:space="preserve">보고
</t>
        </r>
        <r>
          <rPr>
            <sz val="9"/>
            <color indexed="81"/>
            <rFont val="Tahoma"/>
            <family val="2"/>
          </rPr>
          <t>0 TIME
1 OPERATORID
2 LOTID
3 PROCESSID
4 MODELID
5 RECIPEID
7 UNITLISTQTY
8 UNITID#1
9 UNITTACTTIME#1
10 UNITCYCLETIME#1
⁝ ⁝
7+(3n-2) UNITID#n
7+(3n-1) UNITTACTTIME#n
7+(3n) UNITCYCLETIME#n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BJS</author>
  </authors>
  <commentList>
    <comment ref="E52" authorId="0" shapeId="0" xr:uid="{2C296654-FF0E-4106-B464-65E9C231A9BB}">
      <text>
        <r>
          <rPr>
            <b/>
            <sz val="9"/>
            <color indexed="81"/>
            <rFont val="Tahoma"/>
            <family val="2"/>
          </rPr>
          <t>BJS:</t>
        </r>
        <r>
          <rPr>
            <sz val="9"/>
            <color indexed="81"/>
            <rFont val="Tahoma"/>
            <family val="2"/>
          </rPr>
          <t xml:space="preserve">
EquipmentID
EquipmentName
Time
IdleReasonInfo
OperatorID
Idle Reason Information
L,6,IdleReasonInfo
    OperatorID
    IDLECODE
    IDLETEXT
    IDLESTARTTIME
    IDLEENDTIME
    IDLENOTE</t>
        </r>
      </text>
    </comment>
    <comment ref="E54" authorId="0" shapeId="0" xr:uid="{CDB45C5E-5F5D-491D-B7B1-7ADEA7FE3838}">
      <text>
        <r>
          <rPr>
            <b/>
            <sz val="9"/>
            <color indexed="81"/>
            <rFont val="Tahoma"/>
            <family val="2"/>
          </rPr>
          <t>BJS:</t>
        </r>
        <r>
          <rPr>
            <sz val="9"/>
            <color indexed="81"/>
            <rFont val="Tahoma"/>
            <family val="2"/>
          </rPr>
          <t xml:space="preserve">
EquipmentID
EquipmentName
Time
NewAlarmSetList
ActionCode
ActionDescription
DownStartTime
DownEndTime
OperatorID
New Alarm Set List
L,n,NewAlarmSetList
    L,3,NewAlarmInfo
        AlarmID
        AlarmCategory
        AlarmText</t>
        </r>
      </text>
    </comment>
    <comment ref="E56" authorId="0" shapeId="0" xr:uid="{EFD37001-3380-4BFF-9144-F226F99E4A8D}">
      <text>
        <r>
          <rPr>
            <b/>
            <sz val="9"/>
            <color indexed="81"/>
            <rFont val="Tahoma"/>
            <family val="2"/>
          </rPr>
          <t>BJS:</t>
        </r>
        <r>
          <rPr>
            <sz val="9"/>
            <color indexed="81"/>
            <rFont val="Tahoma"/>
            <family val="2"/>
          </rPr>
          <t xml:space="preserve">
Unit(</t>
        </r>
        <r>
          <rPr>
            <sz val="9"/>
            <color indexed="81"/>
            <rFont val="돋움"/>
            <family val="3"/>
            <charset val="129"/>
          </rPr>
          <t>설비모듈</t>
        </r>
        <r>
          <rPr>
            <sz val="9"/>
            <color indexed="81"/>
            <rFont val="Tahoma"/>
            <family val="2"/>
          </rPr>
          <t>)</t>
        </r>
        <r>
          <rPr>
            <sz val="9"/>
            <color indexed="81"/>
            <rFont val="돋움"/>
            <family val="3"/>
            <charset val="129"/>
          </rPr>
          <t>별</t>
        </r>
        <r>
          <rPr>
            <sz val="9"/>
            <color indexed="81"/>
            <rFont val="Tahoma"/>
            <family val="2"/>
          </rPr>
          <t xml:space="preserve"> Equipment State </t>
        </r>
        <r>
          <rPr>
            <sz val="9"/>
            <color indexed="81"/>
            <rFont val="돋움"/>
            <family val="3"/>
            <charset val="129"/>
          </rPr>
          <t>변경되면</t>
        </r>
        <r>
          <rPr>
            <sz val="9"/>
            <color indexed="81"/>
            <rFont val="Tahoma"/>
            <family val="2"/>
          </rPr>
          <t xml:space="preserve"> </t>
        </r>
        <r>
          <rPr>
            <sz val="9"/>
            <color indexed="81"/>
            <rFont val="돋움"/>
            <family val="3"/>
            <charset val="129"/>
          </rPr>
          <t>보고</t>
        </r>
      </text>
    </comment>
    <comment ref="E59" authorId="0" shapeId="0" xr:uid="{8EF2CF0A-7873-419B-AE33-237D235BF169}">
      <text>
        <r>
          <rPr>
            <b/>
            <sz val="9"/>
            <color indexed="81"/>
            <rFont val="Tahoma"/>
            <family val="2"/>
          </rPr>
          <t>BJS:</t>
        </r>
        <r>
          <rPr>
            <sz val="9"/>
            <color indexed="81"/>
            <rFont val="Tahoma"/>
            <family val="2"/>
          </rPr>
          <t xml:space="preserve">
EquipmentID
EquipmentName
Time
LotID
ProcessID
ModelID
RecipeID
UnitProcessingInfo
OperatorID
Number of units in the equipment
L,n,UnitList
    L,3,UnitInfo
        UnitID
        TactTime
        CycleTime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김준현</author>
  </authors>
  <commentList>
    <comment ref="F3" authorId="0" shapeId="0" xr:uid="{00000000-0006-0000-0500-000001000000}">
      <text>
        <r>
          <rPr>
            <b/>
            <sz val="10"/>
            <color indexed="81"/>
            <rFont val="굴림"/>
            <family val="3"/>
            <charset val="129"/>
          </rPr>
          <t>등록</t>
        </r>
        <r>
          <rPr>
            <b/>
            <sz val="10"/>
            <color indexed="81"/>
            <rFont val="Tahoma"/>
            <family val="2"/>
          </rPr>
          <t xml:space="preserve"> : </t>
        </r>
        <r>
          <rPr>
            <b/>
            <sz val="10"/>
            <color indexed="81"/>
            <rFont val="굴림"/>
            <family val="3"/>
            <charset val="129"/>
          </rPr>
          <t>등록되고</t>
        </r>
        <r>
          <rPr>
            <b/>
            <sz val="10"/>
            <color indexed="81"/>
            <rFont val="Tahoma"/>
            <family val="2"/>
          </rPr>
          <t xml:space="preserve"> </t>
        </r>
        <r>
          <rPr>
            <b/>
            <sz val="10"/>
            <color indexed="81"/>
            <rFont val="굴림"/>
            <family val="3"/>
            <charset val="129"/>
          </rPr>
          <t>협의</t>
        </r>
        <r>
          <rPr>
            <b/>
            <sz val="10"/>
            <color indexed="81"/>
            <rFont val="Tahoma"/>
            <family val="2"/>
          </rPr>
          <t xml:space="preserve"> </t>
        </r>
        <r>
          <rPr>
            <b/>
            <sz val="10"/>
            <color indexed="81"/>
            <rFont val="굴림"/>
            <family val="3"/>
            <charset val="129"/>
          </rPr>
          <t>미진행
협의중</t>
        </r>
        <r>
          <rPr>
            <b/>
            <sz val="10"/>
            <color indexed="81"/>
            <rFont val="Tahoma"/>
            <family val="2"/>
          </rPr>
          <t xml:space="preserve"> : </t>
        </r>
        <r>
          <rPr>
            <b/>
            <sz val="10"/>
            <color indexed="81"/>
            <rFont val="굴림"/>
            <family val="3"/>
            <charset val="129"/>
          </rPr>
          <t>협의</t>
        </r>
        <r>
          <rPr>
            <b/>
            <sz val="10"/>
            <color indexed="81"/>
            <rFont val="Tahoma"/>
            <family val="2"/>
          </rPr>
          <t xml:space="preserve"> </t>
        </r>
        <r>
          <rPr>
            <b/>
            <sz val="10"/>
            <color indexed="81"/>
            <rFont val="굴림"/>
            <family val="3"/>
            <charset val="129"/>
          </rPr>
          <t>진행중이고</t>
        </r>
        <r>
          <rPr>
            <b/>
            <sz val="10"/>
            <color indexed="81"/>
            <rFont val="Tahoma"/>
            <family val="2"/>
          </rPr>
          <t xml:space="preserve"> </t>
        </r>
        <r>
          <rPr>
            <b/>
            <sz val="10"/>
            <color indexed="81"/>
            <rFont val="굴림"/>
            <family val="3"/>
            <charset val="129"/>
          </rPr>
          <t>완료되지</t>
        </r>
        <r>
          <rPr>
            <b/>
            <sz val="10"/>
            <color indexed="81"/>
            <rFont val="Tahoma"/>
            <family val="2"/>
          </rPr>
          <t xml:space="preserve"> </t>
        </r>
        <r>
          <rPr>
            <b/>
            <sz val="10"/>
            <color indexed="81"/>
            <rFont val="굴림"/>
            <family val="3"/>
            <charset val="129"/>
          </rPr>
          <t>않은</t>
        </r>
        <r>
          <rPr>
            <b/>
            <sz val="10"/>
            <color indexed="81"/>
            <rFont val="Tahoma"/>
            <family val="2"/>
          </rPr>
          <t xml:space="preserve"> </t>
        </r>
        <r>
          <rPr>
            <b/>
            <sz val="10"/>
            <color indexed="81"/>
            <rFont val="굴림"/>
            <family val="3"/>
            <charset val="129"/>
          </rPr>
          <t>상태
협의완료</t>
        </r>
        <r>
          <rPr>
            <b/>
            <sz val="10"/>
            <color indexed="81"/>
            <rFont val="Tahoma"/>
            <family val="2"/>
          </rPr>
          <t xml:space="preserve"> : </t>
        </r>
        <r>
          <rPr>
            <b/>
            <sz val="10"/>
            <color indexed="81"/>
            <rFont val="굴림"/>
            <family val="3"/>
            <charset val="129"/>
          </rPr>
          <t>협의완료되었으나</t>
        </r>
        <r>
          <rPr>
            <b/>
            <sz val="10"/>
            <color indexed="81"/>
            <rFont val="Tahoma"/>
            <family val="2"/>
          </rPr>
          <t xml:space="preserve"> </t>
        </r>
        <r>
          <rPr>
            <b/>
            <sz val="10"/>
            <color indexed="81"/>
            <rFont val="굴림"/>
            <family val="3"/>
            <charset val="129"/>
          </rPr>
          <t>처리</t>
        </r>
        <r>
          <rPr>
            <b/>
            <sz val="10"/>
            <color indexed="81"/>
            <rFont val="Tahoma"/>
            <family val="2"/>
          </rPr>
          <t xml:space="preserve"> </t>
        </r>
        <r>
          <rPr>
            <b/>
            <sz val="10"/>
            <color indexed="81"/>
            <rFont val="굴림"/>
            <family val="3"/>
            <charset val="129"/>
          </rPr>
          <t>완료되지</t>
        </r>
        <r>
          <rPr>
            <b/>
            <sz val="10"/>
            <color indexed="81"/>
            <rFont val="Tahoma"/>
            <family val="2"/>
          </rPr>
          <t xml:space="preserve"> </t>
        </r>
        <r>
          <rPr>
            <b/>
            <sz val="10"/>
            <color indexed="81"/>
            <rFont val="굴림"/>
            <family val="3"/>
            <charset val="129"/>
          </rPr>
          <t>않은</t>
        </r>
        <r>
          <rPr>
            <b/>
            <sz val="10"/>
            <color indexed="81"/>
            <rFont val="Tahoma"/>
            <family val="2"/>
          </rPr>
          <t xml:space="preserve"> </t>
        </r>
        <r>
          <rPr>
            <b/>
            <sz val="10"/>
            <color indexed="81"/>
            <rFont val="굴림"/>
            <family val="3"/>
            <charset val="129"/>
          </rPr>
          <t>상태
처리중</t>
        </r>
        <r>
          <rPr>
            <b/>
            <sz val="10"/>
            <color indexed="81"/>
            <rFont val="Tahoma"/>
            <family val="2"/>
          </rPr>
          <t xml:space="preserve"> : </t>
        </r>
        <r>
          <rPr>
            <b/>
            <sz val="10"/>
            <color indexed="81"/>
            <rFont val="굴림"/>
            <family val="3"/>
            <charset val="129"/>
          </rPr>
          <t>협의완료되고</t>
        </r>
        <r>
          <rPr>
            <b/>
            <sz val="10"/>
            <color indexed="81"/>
            <rFont val="Tahoma"/>
            <family val="2"/>
          </rPr>
          <t xml:space="preserve"> </t>
        </r>
        <r>
          <rPr>
            <b/>
            <sz val="10"/>
            <color indexed="81"/>
            <rFont val="굴림"/>
            <family val="3"/>
            <charset val="129"/>
          </rPr>
          <t>처리</t>
        </r>
        <r>
          <rPr>
            <b/>
            <sz val="10"/>
            <color indexed="81"/>
            <rFont val="Tahoma"/>
            <family val="2"/>
          </rPr>
          <t xml:space="preserve"> </t>
        </r>
        <r>
          <rPr>
            <b/>
            <sz val="10"/>
            <color indexed="81"/>
            <rFont val="굴림"/>
            <family val="3"/>
            <charset val="129"/>
          </rPr>
          <t>진행중인</t>
        </r>
        <r>
          <rPr>
            <b/>
            <sz val="10"/>
            <color indexed="81"/>
            <rFont val="Tahoma"/>
            <family val="2"/>
          </rPr>
          <t xml:space="preserve"> </t>
        </r>
        <r>
          <rPr>
            <b/>
            <sz val="10"/>
            <color indexed="81"/>
            <rFont val="굴림"/>
            <family val="3"/>
            <charset val="129"/>
          </rPr>
          <t>상태
처리완료</t>
        </r>
        <r>
          <rPr>
            <b/>
            <sz val="10"/>
            <color indexed="81"/>
            <rFont val="Tahoma"/>
            <family val="2"/>
          </rPr>
          <t xml:space="preserve"> : </t>
        </r>
        <r>
          <rPr>
            <b/>
            <sz val="10"/>
            <color indexed="81"/>
            <rFont val="굴림"/>
            <family val="3"/>
            <charset val="129"/>
          </rPr>
          <t>협의</t>
        </r>
        <r>
          <rPr>
            <b/>
            <sz val="10"/>
            <color indexed="81"/>
            <rFont val="Tahoma"/>
            <family val="2"/>
          </rPr>
          <t xml:space="preserve"> </t>
        </r>
        <r>
          <rPr>
            <b/>
            <sz val="10"/>
            <color indexed="81"/>
            <rFont val="굴림"/>
            <family val="3"/>
            <charset val="129"/>
          </rPr>
          <t>및</t>
        </r>
        <r>
          <rPr>
            <b/>
            <sz val="10"/>
            <color indexed="81"/>
            <rFont val="Tahoma"/>
            <family val="2"/>
          </rPr>
          <t xml:space="preserve"> </t>
        </r>
        <r>
          <rPr>
            <b/>
            <sz val="10"/>
            <color indexed="81"/>
            <rFont val="굴림"/>
            <family val="3"/>
            <charset val="129"/>
          </rPr>
          <t>처리</t>
        </r>
        <r>
          <rPr>
            <b/>
            <sz val="10"/>
            <color indexed="81"/>
            <rFont val="Tahoma"/>
            <family val="2"/>
          </rPr>
          <t xml:space="preserve"> </t>
        </r>
        <r>
          <rPr>
            <b/>
            <sz val="10"/>
            <color indexed="81"/>
            <rFont val="굴림"/>
            <family val="3"/>
            <charset val="129"/>
          </rPr>
          <t>완료된</t>
        </r>
        <r>
          <rPr>
            <b/>
            <sz val="10"/>
            <color indexed="81"/>
            <rFont val="Tahoma"/>
            <family val="2"/>
          </rPr>
          <t xml:space="preserve"> </t>
        </r>
        <r>
          <rPr>
            <b/>
            <sz val="10"/>
            <color indexed="81"/>
            <rFont val="굴림"/>
            <family val="3"/>
            <charset val="129"/>
          </rPr>
          <t>상태</t>
        </r>
        <r>
          <rPr>
            <b/>
            <sz val="10"/>
            <color indexed="81"/>
            <rFont val="Tahoma"/>
            <family val="2"/>
          </rPr>
          <t xml:space="preserve">
</t>
        </r>
        <r>
          <rPr>
            <b/>
            <sz val="10"/>
            <color indexed="81"/>
            <rFont val="굴림"/>
            <family val="3"/>
            <charset val="129"/>
          </rPr>
          <t>취소</t>
        </r>
        <r>
          <rPr>
            <b/>
            <sz val="10"/>
            <color indexed="81"/>
            <rFont val="Tahoma"/>
            <family val="2"/>
          </rPr>
          <t xml:space="preserve"> : Open Item</t>
        </r>
        <r>
          <rPr>
            <b/>
            <sz val="10"/>
            <color indexed="81"/>
            <rFont val="굴림"/>
            <family val="3"/>
            <charset val="129"/>
          </rPr>
          <t>에서</t>
        </r>
        <r>
          <rPr>
            <b/>
            <sz val="10"/>
            <color indexed="81"/>
            <rFont val="Tahoma"/>
            <family val="2"/>
          </rPr>
          <t xml:space="preserve"> </t>
        </r>
        <r>
          <rPr>
            <b/>
            <sz val="10"/>
            <color indexed="81"/>
            <rFont val="굴림"/>
            <family val="3"/>
            <charset val="129"/>
          </rPr>
          <t>제외</t>
        </r>
      </text>
    </comment>
  </commentList>
</comments>
</file>

<file path=xl/sharedStrings.xml><?xml version="1.0" encoding="utf-8"?>
<sst xmlns="http://schemas.openxmlformats.org/spreadsheetml/2006/main" count="1725" uniqueCount="364">
  <si>
    <t>Sx,Fy</t>
    <phoneticPr fontId="1" type="noConversion"/>
  </si>
  <si>
    <t>Name of Function</t>
    <phoneticPr fontId="1" type="noConversion"/>
  </si>
  <si>
    <t>No.</t>
    <phoneticPr fontId="1" type="noConversion"/>
  </si>
  <si>
    <t>비고</t>
    <phoneticPr fontId="1" type="noConversion"/>
  </si>
  <si>
    <t>1. Event Report Send</t>
    <phoneticPr fontId="1" type="noConversion"/>
  </si>
  <si>
    <t>S6F11</t>
    <phoneticPr fontId="1" type="noConversion"/>
  </si>
  <si>
    <t>Test Process Description</t>
    <phoneticPr fontId="1" type="noConversion"/>
  </si>
  <si>
    <t>Test Case</t>
    <phoneticPr fontId="1" type="noConversion"/>
  </si>
  <si>
    <t>S1F1</t>
    <phoneticPr fontId="1" type="noConversion"/>
  </si>
  <si>
    <t>S5F1</t>
    <phoneticPr fontId="1" type="noConversion"/>
  </si>
  <si>
    <t>설비는 현재 Enabled Alarm이 발생하거나 해제 될 경우, 이를 Host로 보고함.</t>
    <phoneticPr fontId="1" type="noConversion"/>
  </si>
  <si>
    <t>Required</t>
    <phoneticPr fontId="1" type="noConversion"/>
  </si>
  <si>
    <t>O</t>
    <phoneticPr fontId="1" type="noConversion"/>
  </si>
  <si>
    <t>Optional</t>
    <phoneticPr fontId="1" type="noConversion"/>
  </si>
  <si>
    <t>CEID</t>
    <phoneticPr fontId="1" type="noConversion"/>
  </si>
  <si>
    <t>1. DSPER : Sampling 주기 (초단위)
2. REPGSZ : Sampling 주기에 따른 설정 변수 값을 Report Group Size 만큼 누적하여 한번에 보고하는
 누적 갯수
3. TOTSMP : Number of samples to be taken during a complete trace period.
                  0  = 현재 진행되는 Trace를 종료시킴.
4. TRID : 현재 진행되는 TRID 와 같은 TRID로 다시 설비에 통보하면 진행되던 Trace는 종료되고 새로운 Trace가 진행됨.</t>
    <phoneticPr fontId="1" type="noConversion"/>
  </si>
  <si>
    <t>1. 설비는 Event 발생 시 정의된  Structure에 따라 Host로 해당 Event를 보고함.</t>
    <phoneticPr fontId="1" type="noConversion"/>
  </si>
  <si>
    <t>1. 설비에서 Host로 현재 날짜 및 시간 정보를 요청함.
2. Host는 현재 날짜와 시간을 전송함.</t>
    <phoneticPr fontId="1" type="noConversion"/>
  </si>
  <si>
    <t>S2F17</t>
    <phoneticPr fontId="1" type="noConversion"/>
  </si>
  <si>
    <t>1. Date and Time Set Request</t>
    <phoneticPr fontId="1" type="noConversion"/>
  </si>
  <si>
    <t>S2F31</t>
    <phoneticPr fontId="1" type="noConversion"/>
  </si>
  <si>
    <t>Host에서 설비로 현재 날짜 및 시간 정보를 전송함.
- 12 of digits(Default) : YYMMDDhhmmss</t>
    <phoneticPr fontId="1" type="noConversion"/>
  </si>
  <si>
    <t>1. Date and Time Request</t>
    <phoneticPr fontId="1" type="noConversion"/>
  </si>
  <si>
    <t>적용 Lv.</t>
    <phoneticPr fontId="1" type="noConversion"/>
  </si>
  <si>
    <t>Lv.1</t>
    <phoneticPr fontId="1" type="noConversion"/>
  </si>
  <si>
    <t>No</t>
    <phoneticPr fontId="7" type="noConversion"/>
  </si>
  <si>
    <t>날짜</t>
    <phoneticPr fontId="7" type="noConversion"/>
  </si>
  <si>
    <t>판정</t>
    <phoneticPr fontId="7" type="noConversion"/>
  </si>
  <si>
    <t>Stream1</t>
    <phoneticPr fontId="7" type="noConversion"/>
  </si>
  <si>
    <t>Stream2</t>
    <phoneticPr fontId="7" type="noConversion"/>
  </si>
  <si>
    <t>Date and Time Request (DTR)</t>
  </si>
  <si>
    <t>Date and Time Data (DTD)</t>
  </si>
  <si>
    <t>Trace Initialize Send (TIS)</t>
  </si>
  <si>
    <t>Trace Initialize Acknowledge (TIA)</t>
  </si>
  <si>
    <t>N/A</t>
  </si>
  <si>
    <t>Stream5</t>
    <phoneticPr fontId="7" type="noConversion"/>
  </si>
  <si>
    <t>Stream6</t>
    <phoneticPr fontId="7" type="noConversion"/>
  </si>
  <si>
    <t>Event Report Send Acknowledge (ERA)</t>
  </si>
  <si>
    <t>Stream7</t>
    <phoneticPr fontId="7" type="noConversion"/>
  </si>
  <si>
    <t>Current EPPD Data (RED)</t>
  </si>
  <si>
    <t>Stream9</t>
    <phoneticPr fontId="7" type="noConversion"/>
  </si>
  <si>
    <t>Stream10</t>
    <phoneticPr fontId="7" type="noConversion"/>
  </si>
  <si>
    <t>EIF담당자</t>
    <phoneticPr fontId="1" type="noConversion"/>
  </si>
  <si>
    <t>-</t>
    <phoneticPr fontId="1" type="noConversion"/>
  </si>
  <si>
    <t>NO</t>
    <phoneticPr fontId="7" type="noConversion"/>
  </si>
  <si>
    <t>상태</t>
    <phoneticPr fontId="7" type="noConversion"/>
  </si>
  <si>
    <t>완료일자</t>
    <phoneticPr fontId="7" type="noConversion"/>
  </si>
  <si>
    <t>담당부서</t>
    <phoneticPr fontId="7" type="noConversion"/>
  </si>
  <si>
    <t>완료예정일자</t>
    <phoneticPr fontId="7" type="noConversion"/>
  </si>
  <si>
    <t>등록일자</t>
    <phoneticPr fontId="7" type="noConversion"/>
  </si>
  <si>
    <t>-</t>
    <phoneticPr fontId="1" type="noConversion"/>
  </si>
  <si>
    <t xml:space="preserve">Stream  </t>
    <phoneticPr fontId="7" type="noConversion"/>
  </si>
  <si>
    <t xml:space="preserve">Function </t>
    <phoneticPr fontId="7" type="noConversion"/>
  </si>
  <si>
    <t>Direction</t>
    <phoneticPr fontId="1" type="noConversion"/>
  </si>
  <si>
    <t>Message Name</t>
    <phoneticPr fontId="7" type="noConversion"/>
  </si>
  <si>
    <t>통신 연결 Test</t>
    <phoneticPr fontId="3" type="noConversion"/>
  </si>
  <si>
    <t>구분</t>
    <phoneticPr fontId="7" type="noConversion"/>
  </si>
  <si>
    <t>금일 테스트 결과</t>
    <phoneticPr fontId="7" type="noConversion"/>
  </si>
  <si>
    <t>테스트 결과 누적</t>
    <phoneticPr fontId="7" type="noConversion"/>
  </si>
  <si>
    <t>비고</t>
    <phoneticPr fontId="7" type="noConversion"/>
  </si>
  <si>
    <t>금일
테스트케이스</t>
    <phoneticPr fontId="7" type="noConversion"/>
  </si>
  <si>
    <t>OK</t>
    <phoneticPr fontId="7" type="noConversion"/>
  </si>
  <si>
    <t>NG</t>
    <phoneticPr fontId="7" type="noConversion"/>
  </si>
  <si>
    <t>SKIP</t>
    <phoneticPr fontId="7" type="noConversion"/>
  </si>
  <si>
    <t>전체
테스트케이스</t>
    <phoneticPr fontId="7" type="noConversion"/>
  </si>
  <si>
    <t>테스트
진척률</t>
    <phoneticPr fontId="7" type="noConversion"/>
  </si>
  <si>
    <t>개수</t>
    <phoneticPr fontId="7" type="noConversion"/>
  </si>
  <si>
    <t>비율</t>
    <phoneticPr fontId="7" type="noConversion"/>
  </si>
  <si>
    <t>비율</t>
    <phoneticPr fontId="7" type="noConversion"/>
  </si>
  <si>
    <t>테스트 개요</t>
    <phoneticPr fontId="7" type="noConversion"/>
  </si>
  <si>
    <t>종 합 의 견</t>
    <phoneticPr fontId="7" type="noConversion"/>
  </si>
  <si>
    <t>메시지 테스트</t>
    <phoneticPr fontId="7" type="noConversion"/>
  </si>
  <si>
    <t>시나리오 테스트</t>
    <phoneticPr fontId="7" type="noConversion"/>
  </si>
  <si>
    <t xml:space="preserve">▣ 메시지 테스트 </t>
  </si>
  <si>
    <t>EIF 담당자</t>
    <phoneticPr fontId="7" type="noConversion"/>
  </si>
  <si>
    <t>성명 (이름 직급)</t>
    <phoneticPr fontId="7" type="noConversion"/>
  </si>
  <si>
    <t>소속 (회사명)</t>
    <phoneticPr fontId="7" type="noConversion"/>
  </si>
  <si>
    <t xml:space="preserve"> - 테스트 환경</t>
    <phoneticPr fontId="1" type="noConversion"/>
  </si>
  <si>
    <t xml:space="preserve"> - 테스트 담당자</t>
    <phoneticPr fontId="7" type="noConversion"/>
  </si>
  <si>
    <t>전화번호</t>
    <phoneticPr fontId="1" type="noConversion"/>
  </si>
  <si>
    <t>▣ 시나리오 테스트</t>
    <phoneticPr fontId="7" type="noConversion"/>
  </si>
  <si>
    <t xml:space="preserve">테스트 일자 :  </t>
    <phoneticPr fontId="7" type="noConversion"/>
  </si>
  <si>
    <t>1. 설비는 Offline 상태에서 Host로부터 Primary Message 수신 시 Function '0'으로 응답하여야 함.
(단, S1F1, S1F13, S1F17, S2F25 수신 시 정상 Secondary Message로 응답하여야 함.)</t>
    <phoneticPr fontId="1" type="noConversion"/>
  </si>
  <si>
    <t>O</t>
    <phoneticPr fontId="1" type="noConversion"/>
  </si>
  <si>
    <t>SxF0</t>
    <phoneticPr fontId="1" type="noConversion"/>
  </si>
  <si>
    <t>S6F11</t>
    <phoneticPr fontId="1" type="noConversion"/>
  </si>
  <si>
    <t>테스트 환경</t>
    <phoneticPr fontId="1" type="noConversion"/>
  </si>
  <si>
    <t>테스트 후 환경</t>
    <phoneticPr fontId="1" type="noConversion"/>
  </si>
  <si>
    <t>설비</t>
    <phoneticPr fontId="1" type="noConversion"/>
  </si>
  <si>
    <t>EIF</t>
    <phoneticPr fontId="1" type="noConversion"/>
  </si>
  <si>
    <t>GMES</t>
    <phoneticPr fontId="1" type="noConversion"/>
  </si>
  <si>
    <t>GRMS</t>
    <phoneticPr fontId="1" type="noConversion"/>
  </si>
  <si>
    <t>비고</t>
    <phoneticPr fontId="1" type="noConversion"/>
  </si>
  <si>
    <t>개 정 이 력</t>
    <phoneticPr fontId="18" type="noConversion"/>
  </si>
  <si>
    <t>Ver.</t>
    <phoneticPr fontId="7" type="noConversion"/>
  </si>
  <si>
    <t>변경일</t>
    <phoneticPr fontId="7" type="noConversion"/>
  </si>
  <si>
    <t>관련 근거</t>
    <phoneticPr fontId="7" type="noConversion"/>
  </si>
  <si>
    <t>변경 내용</t>
    <phoneticPr fontId="7" type="noConversion"/>
  </si>
  <si>
    <t>작성자</t>
  </si>
  <si>
    <t>승인자</t>
  </si>
  <si>
    <t>최초 작성</t>
    <phoneticPr fontId="18" type="noConversion"/>
  </si>
  <si>
    <t>소속</t>
    <phoneticPr fontId="7" type="noConversion"/>
  </si>
  <si>
    <t xml:space="preserve"> LG CNS</t>
    <phoneticPr fontId="7" type="noConversion"/>
  </si>
  <si>
    <t>작성자</t>
    <phoneticPr fontId="7" type="noConversion"/>
  </si>
  <si>
    <t>검토자</t>
    <phoneticPr fontId="7" type="noConversion"/>
  </si>
  <si>
    <t>소속</t>
    <phoneticPr fontId="7" type="noConversion"/>
  </si>
  <si>
    <t xml:space="preserve"> LG CNS</t>
    <phoneticPr fontId="7" type="noConversion"/>
  </si>
  <si>
    <t>승인자</t>
    <phoneticPr fontId="7" type="noConversion"/>
  </si>
  <si>
    <t xml:space="preserve"> LG 이노텍</t>
    <phoneticPr fontId="7" type="noConversion"/>
  </si>
  <si>
    <t>검수자</t>
    <phoneticPr fontId="7" type="noConversion"/>
  </si>
  <si>
    <r>
      <t xml:space="preserve">Copyright ⓒ LG CNS
</t>
    </r>
    <r>
      <rPr>
        <b/>
        <sz val="8"/>
        <rFont val="맑은 고딕"/>
        <family val="3"/>
        <charset val="129"/>
      </rPr>
      <t>LG CNS의 사전 승인 없이 본 내용의 전부 또는 일부에 대한 복사, 배포, 사용을 금합니다.</t>
    </r>
    <phoneticPr fontId="7" type="noConversion"/>
  </si>
  <si>
    <t>관리부서 : 공정제어팀</t>
    <phoneticPr fontId="7" type="noConversion"/>
  </si>
  <si>
    <t xml:space="preserve">▣ 테스트 결과 </t>
    <phoneticPr fontId="7" type="noConversion"/>
  </si>
  <si>
    <t>내용 및 처리 이력/결과</t>
    <phoneticPr fontId="7" type="noConversion"/>
  </si>
  <si>
    <t>비  고</t>
    <phoneticPr fontId="7" type="noConversion"/>
  </si>
  <si>
    <t>구분</t>
    <phoneticPr fontId="1" type="noConversion"/>
  </si>
  <si>
    <t>▣ Open Item (협의 필요 사항)</t>
    <phoneticPr fontId="7" type="noConversion"/>
  </si>
  <si>
    <t>Test Case ID</t>
    <phoneticPr fontId="1" type="noConversion"/>
  </si>
  <si>
    <t>Test Case ID</t>
    <phoneticPr fontId="1" type="noConversion"/>
  </si>
  <si>
    <t>해당 Test Case ID</t>
    <phoneticPr fontId="1" type="noConversion"/>
  </si>
  <si>
    <t>업무 구분</t>
    <phoneticPr fontId="7" type="noConversion"/>
  </si>
  <si>
    <t>양산 서버</t>
    <phoneticPr fontId="1" type="noConversion"/>
  </si>
  <si>
    <t>양산 서버</t>
    <phoneticPr fontId="1" type="noConversion"/>
  </si>
  <si>
    <t>양산 서버에 연결</t>
    <phoneticPr fontId="1" type="noConversion"/>
  </si>
  <si>
    <t>양산서버</t>
    <phoneticPr fontId="1" type="noConversion"/>
  </si>
  <si>
    <t>개발서버</t>
    <phoneticPr fontId="1" type="noConversion"/>
  </si>
  <si>
    <t>*</t>
    <phoneticPr fontId="1" type="noConversion"/>
  </si>
  <si>
    <t>RPTID</t>
    <phoneticPr fontId="7" type="noConversion"/>
  </si>
  <si>
    <t>-</t>
    <phoneticPr fontId="1" type="noConversion"/>
  </si>
  <si>
    <t>-</t>
    <phoneticPr fontId="1" type="noConversion"/>
  </si>
  <si>
    <t>-</t>
    <phoneticPr fontId="1" type="noConversion"/>
  </si>
  <si>
    <t>-</t>
    <phoneticPr fontId="1" type="noConversion"/>
  </si>
  <si>
    <t>S2F49</t>
    <phoneticPr fontId="1" type="noConversion"/>
  </si>
  <si>
    <t>1. Enhanced Host Command Send</t>
    <phoneticPr fontId="1" type="noConversion"/>
  </si>
  <si>
    <t>Remark</t>
    <phoneticPr fontId="1" type="noConversion"/>
  </si>
  <si>
    <t>-</t>
    <phoneticPr fontId="1" type="noConversion"/>
  </si>
  <si>
    <t>-</t>
    <phoneticPr fontId="1" type="noConversion"/>
  </si>
  <si>
    <t>Lv.3</t>
    <phoneticPr fontId="1" type="noConversion"/>
  </si>
  <si>
    <t>MES BizRule Name</t>
    <phoneticPr fontId="7" type="noConversion"/>
  </si>
  <si>
    <t>1. Enhanced Host Command Send</t>
    <phoneticPr fontId="1" type="noConversion"/>
  </si>
  <si>
    <t xml:space="preserve">Required </t>
    <phoneticPr fontId="7" type="noConversion"/>
  </si>
  <si>
    <t>O</t>
    <phoneticPr fontId="1" type="noConversion"/>
  </si>
  <si>
    <t>O</t>
    <phoneticPr fontId="1" type="noConversion"/>
  </si>
  <si>
    <t>Lv.2</t>
    <phoneticPr fontId="1" type="noConversion"/>
  </si>
  <si>
    <t>S6F11</t>
    <phoneticPr fontId="1" type="noConversion"/>
  </si>
  <si>
    <t>1.0</t>
    <phoneticPr fontId="7" type="noConversion"/>
  </si>
  <si>
    <t>1. Are You There</t>
    <phoneticPr fontId="1" type="noConversion"/>
  </si>
  <si>
    <t>1. Alarm Report Send</t>
    <phoneticPr fontId="1" type="noConversion"/>
  </si>
  <si>
    <t>1. Enhanced Host Command Send</t>
    <phoneticPr fontId="1" type="noConversion"/>
  </si>
  <si>
    <t>Check List</t>
    <phoneticPr fontId="7" type="noConversion"/>
  </si>
  <si>
    <t>Contect Point</t>
    <phoneticPr fontId="1" type="noConversion"/>
  </si>
  <si>
    <t>Maker</t>
    <phoneticPr fontId="1" type="noConversion"/>
  </si>
  <si>
    <t>MES</t>
    <phoneticPr fontId="1" type="noConversion"/>
  </si>
  <si>
    <t>Eng'r</t>
    <phoneticPr fontId="1" type="noConversion"/>
  </si>
  <si>
    <t>EIF</t>
    <phoneticPr fontId="1" type="noConversion"/>
  </si>
  <si>
    <t>Rusult</t>
    <phoneticPr fontId="1" type="noConversion"/>
  </si>
  <si>
    <t>LAN Cable 연결 여부</t>
    <phoneticPr fontId="1" type="noConversion"/>
  </si>
  <si>
    <t>설비 IP Address &amp; Port No. Setting 여부</t>
    <phoneticPr fontId="1" type="noConversion"/>
  </si>
  <si>
    <t>설비 제어담당자/통역 Arrange 여부</t>
    <phoneticPr fontId="1" type="noConversion"/>
  </si>
  <si>
    <t>MES/MMD 설비 기준 정보 등록 여부</t>
    <phoneticPr fontId="1" type="noConversion"/>
  </si>
  <si>
    <t>테스트용 자재 요청</t>
    <phoneticPr fontId="1" type="noConversion"/>
  </si>
  <si>
    <t>테스트용 자재 정보 MES 등록 요청</t>
    <phoneticPr fontId="1" type="noConversion"/>
  </si>
  <si>
    <t>EIF 모델링 완료 여부</t>
    <phoneticPr fontId="1" type="noConversion"/>
  </si>
  <si>
    <t>Y</t>
    <phoneticPr fontId="1" type="noConversion"/>
  </si>
  <si>
    <t>설비명</t>
    <phoneticPr fontId="1" type="noConversion"/>
  </si>
  <si>
    <t>테스트 전 Check List</t>
    <phoneticPr fontId="1" type="noConversion"/>
  </si>
  <si>
    <t>Line Total</t>
    <phoneticPr fontId="7" type="noConversion"/>
  </si>
  <si>
    <t>Machine Total</t>
    <phoneticPr fontId="7" type="noConversion"/>
  </si>
  <si>
    <r>
      <t xml:space="preserve">1. Trace Initialize Send
2. Trace Data Send
</t>
    </r>
    <r>
      <rPr>
        <sz val="10"/>
        <color theme="0" tint="-0.499984740745262"/>
        <rFont val="맑은 고딕"/>
        <family val="3"/>
        <charset val="129"/>
        <scheme val="major"/>
      </rPr>
      <t>3. Trace Initialize Send (End)</t>
    </r>
    <phoneticPr fontId="1" type="noConversion"/>
  </si>
  <si>
    <r>
      <t xml:space="preserve">S2F23
S6F1
</t>
    </r>
    <r>
      <rPr>
        <sz val="10"/>
        <color theme="0" tint="-0.499984740745262"/>
        <rFont val="맑은 고딕"/>
        <family val="3"/>
        <charset val="129"/>
        <scheme val="major"/>
      </rPr>
      <t>S2F23</t>
    </r>
    <phoneticPr fontId="1" type="noConversion"/>
  </si>
  <si>
    <r>
      <t xml:space="preserve">Message Structure </t>
    </r>
    <r>
      <rPr>
        <b/>
        <sz val="10"/>
        <color rgb="FFFF0000"/>
        <rFont val="맑은 고딕"/>
        <family val="3"/>
        <charset val="129"/>
        <scheme val="major"/>
      </rPr>
      <t>(Test Log Copy)</t>
    </r>
    <phoneticPr fontId="7" type="noConversion"/>
  </si>
  <si>
    <r>
      <t>H</t>
    </r>
    <r>
      <rPr>
        <sz val="10"/>
        <color rgb="FF0000FF"/>
        <rFont val="맑은 고딕"/>
        <family val="3"/>
        <charset val="129"/>
        <scheme val="major"/>
      </rPr>
      <t>◀</t>
    </r>
    <r>
      <rPr>
        <sz val="10"/>
        <color rgb="FFFF0000"/>
        <rFont val="맑은 고딕"/>
        <family val="3"/>
        <charset val="129"/>
        <scheme val="major"/>
      </rPr>
      <t>▶</t>
    </r>
    <r>
      <rPr>
        <sz val="10"/>
        <color theme="1"/>
        <rFont val="맑은 고딕"/>
        <family val="3"/>
        <charset val="129"/>
        <scheme val="major"/>
      </rPr>
      <t>E</t>
    </r>
    <phoneticPr fontId="1" type="noConversion"/>
  </si>
  <si>
    <r>
      <t>H</t>
    </r>
    <r>
      <rPr>
        <sz val="10"/>
        <color rgb="FFFF0000"/>
        <rFont val="맑은 고딕"/>
        <family val="3"/>
        <charset val="129"/>
        <scheme val="major"/>
      </rPr>
      <t>▶</t>
    </r>
    <r>
      <rPr>
        <sz val="10"/>
        <color theme="1"/>
        <rFont val="맑은 고딕"/>
        <family val="3"/>
        <charset val="129"/>
        <scheme val="major"/>
      </rPr>
      <t>E</t>
    </r>
    <phoneticPr fontId="1" type="noConversion"/>
  </si>
  <si>
    <r>
      <t>H</t>
    </r>
    <r>
      <rPr>
        <sz val="10"/>
        <color rgb="FF0000FF"/>
        <rFont val="맑은 고딕"/>
        <family val="3"/>
        <charset val="129"/>
        <scheme val="major"/>
      </rPr>
      <t>◀</t>
    </r>
    <r>
      <rPr>
        <sz val="10"/>
        <color theme="1"/>
        <rFont val="맑은 고딕"/>
        <family val="3"/>
        <charset val="129"/>
        <scheme val="major"/>
      </rPr>
      <t>E</t>
    </r>
    <phoneticPr fontId="1" type="noConversion"/>
  </si>
  <si>
    <t>Abort Transaction</t>
    <phoneticPr fontId="1" type="noConversion"/>
  </si>
  <si>
    <t>Current EPPD Request (RER)</t>
    <phoneticPr fontId="1" type="noConversion"/>
  </si>
  <si>
    <r>
      <rPr>
        <b/>
        <sz val="12"/>
        <rFont val="맑은 고딕"/>
        <family val="3"/>
        <charset val="129"/>
      </rPr>
      <t xml:space="preserve">[ Test 종합 의견 ] </t>
    </r>
    <r>
      <rPr>
        <sz val="12"/>
        <rFont val="맑은 고딕"/>
        <family val="3"/>
        <charset val="129"/>
      </rPr>
      <t xml:space="preserve"> 
 - Online 및 Tray Sceanario 테스트
 - 잔건 진행
 - WJ Cleaning RMS 현장 TEST 대기
 </t>
    </r>
    <r>
      <rPr>
        <b/>
        <sz val="12"/>
        <rFont val="맑은 고딕"/>
        <family val="3"/>
        <charset val="129"/>
      </rPr>
      <t>- Plasma Cleaner RMS 현장 TEST 완료 (업체 프로그램 특성상 지정파라미터 사용불가)</t>
    </r>
    <r>
      <rPr>
        <sz val="12"/>
        <rFont val="맑은 고딕"/>
        <family val="3"/>
        <charset val="129"/>
      </rPr>
      <t xml:space="preserve">
</t>
    </r>
    <r>
      <rPr>
        <b/>
        <sz val="12"/>
        <rFont val="맑은 고딕"/>
        <family val="3"/>
        <charset val="129"/>
      </rPr>
      <t>[ 향후 계획 ]</t>
    </r>
    <r>
      <rPr>
        <sz val="12"/>
        <rFont val="맑은 고딕"/>
        <family val="3"/>
        <charset val="129"/>
      </rPr>
      <t xml:space="preserve">
 -
</t>
    </r>
    <r>
      <rPr>
        <b/>
        <sz val="12"/>
        <rFont val="맑은 고딕"/>
        <family val="3"/>
        <charset val="129"/>
      </rPr>
      <t xml:space="preserve">
[ 지원 요청 사항 ]</t>
    </r>
    <phoneticPr fontId="7" type="noConversion"/>
  </si>
  <si>
    <t>미실시</t>
  </si>
  <si>
    <t>Unit #1</t>
    <phoneticPr fontId="1" type="noConversion"/>
  </si>
  <si>
    <t>Unit #2</t>
  </si>
  <si>
    <t>Unit #3</t>
  </si>
  <si>
    <t>Unit #4</t>
  </si>
  <si>
    <t>Unit #5</t>
  </si>
  <si>
    <t>Unit #6</t>
  </si>
  <si>
    <t>Unit #7</t>
  </si>
  <si>
    <t>Unit#1</t>
    <phoneticPr fontId="1" type="noConversion"/>
  </si>
  <si>
    <t>Unit#2</t>
    <phoneticPr fontId="1" type="noConversion"/>
  </si>
  <si>
    <t>Unit#3</t>
    <phoneticPr fontId="1" type="noConversion"/>
  </si>
  <si>
    <t>Unit#4</t>
    <phoneticPr fontId="1" type="noConversion"/>
  </si>
  <si>
    <t>Unit#5</t>
    <phoneticPr fontId="1" type="noConversion"/>
  </si>
  <si>
    <t>Unit#6</t>
    <phoneticPr fontId="1" type="noConversion"/>
  </si>
  <si>
    <t>Unit#7</t>
    <phoneticPr fontId="1" type="noConversion"/>
  </si>
  <si>
    <r>
      <rPr>
        <sz val="10"/>
        <color rgb="FFFF0000"/>
        <rFont val="맑은 고딕"/>
        <family val="3"/>
        <charset val="129"/>
        <scheme val="major"/>
      </rPr>
      <t>Reports a change in the equipment access mode. (OP, Maint, Eng_Vendor, Eng_MI, Engineer, Admin)</t>
    </r>
    <r>
      <rPr>
        <sz val="10"/>
        <color theme="1"/>
        <rFont val="맑은 고딕"/>
        <family val="3"/>
        <charset val="129"/>
        <scheme val="major"/>
      </rPr>
      <t xml:space="preserve">
설비에 설정된 시간을 초과하는 경우 보고 (설비 비가동 시작시간 / 종료시간 / 사유)</t>
    </r>
    <phoneticPr fontId="1" type="noConversion"/>
  </si>
  <si>
    <t>Report Tact/Cycle Time for each unit in the equipment upon LOT completion</t>
    <phoneticPr fontId="1" type="noConversion"/>
  </si>
  <si>
    <t>Unit #5</t>
    <phoneticPr fontId="1" type="noConversion"/>
  </si>
  <si>
    <t>현장 통합 테스트 - 설비명</t>
    <phoneticPr fontId="7" type="noConversion"/>
  </si>
  <si>
    <t>오현학 책임</t>
    <phoneticPr fontId="7" type="noConversion"/>
  </si>
  <si>
    <t>박민용 선임</t>
    <phoneticPr fontId="7" type="noConversion"/>
  </si>
  <si>
    <t>배준석 책임</t>
    <phoneticPr fontId="7" type="noConversion"/>
  </si>
  <si>
    <t>Are You There Data</t>
    <phoneticPr fontId="1" type="noConversion"/>
  </si>
  <si>
    <t>Are You There Request</t>
    <phoneticPr fontId="1" type="noConversion"/>
  </si>
  <si>
    <t>Selected Equipment Status Request</t>
    <phoneticPr fontId="1" type="noConversion"/>
  </si>
  <si>
    <t>Selected Equipment Status Data</t>
    <phoneticPr fontId="1" type="noConversion"/>
  </si>
  <si>
    <t>Link Test Request</t>
    <phoneticPr fontId="1" type="noConversion"/>
  </si>
  <si>
    <t>Link Test Response</t>
    <phoneticPr fontId="1" type="noConversion"/>
  </si>
  <si>
    <t>Date and Time Set Request</t>
    <phoneticPr fontId="1" type="noConversion"/>
  </si>
  <si>
    <t>Date and Time Set Acknowledge</t>
    <phoneticPr fontId="1" type="noConversion"/>
  </si>
  <si>
    <t>Idle Reason Code Request</t>
    <phoneticPr fontId="7" type="noConversion"/>
  </si>
  <si>
    <t>Idle Reason Code Data</t>
    <phoneticPr fontId="1" type="noConversion"/>
  </si>
  <si>
    <r>
      <t>H</t>
    </r>
    <r>
      <rPr>
        <sz val="10"/>
        <color rgb="FFFF0000"/>
        <rFont val="맑은 고딕"/>
        <family val="3"/>
        <charset val="129"/>
        <scheme val="major"/>
      </rPr>
      <t>◀</t>
    </r>
    <r>
      <rPr>
        <sz val="10"/>
        <color theme="1"/>
        <rFont val="맑은 고딕"/>
        <family val="3"/>
        <charset val="129"/>
        <scheme val="major"/>
      </rPr>
      <t>E</t>
    </r>
    <phoneticPr fontId="1" type="noConversion"/>
  </si>
  <si>
    <r>
      <t>H</t>
    </r>
    <r>
      <rPr>
        <sz val="10"/>
        <color rgb="FF0000FF"/>
        <rFont val="맑은 고딕"/>
        <family val="3"/>
        <charset val="129"/>
        <scheme val="major"/>
      </rPr>
      <t>▶</t>
    </r>
    <r>
      <rPr>
        <sz val="10"/>
        <color theme="1"/>
        <rFont val="맑은 고딕"/>
        <family val="3"/>
        <charset val="129"/>
        <scheme val="major"/>
      </rPr>
      <t>E</t>
    </r>
    <phoneticPr fontId="1" type="noConversion"/>
  </si>
  <si>
    <t>LOT_START</t>
    <phoneticPr fontId="7" type="noConversion"/>
  </si>
  <si>
    <t>LOT_ID_FAIL</t>
    <phoneticPr fontId="7" type="noConversion"/>
  </si>
  <si>
    <t>NG_LOT_START</t>
    <phoneticPr fontId="7" type="noConversion"/>
  </si>
  <si>
    <t>NG_LOT_ID_FAIL</t>
    <phoneticPr fontId="7" type="noConversion"/>
  </si>
  <si>
    <t>PRODUCT_ID_FAIL</t>
    <phoneticPr fontId="7" type="noConversion"/>
  </si>
  <si>
    <t>PRODUCT_DATA</t>
    <phoneticPr fontId="7" type="noConversion"/>
  </si>
  <si>
    <t>SETCODE_IDLE_REASON</t>
    <phoneticPr fontId="7" type="noConversion"/>
  </si>
  <si>
    <t>SETCODE_DOWN_ACTION</t>
    <phoneticPr fontId="7" type="noConversion"/>
  </si>
  <si>
    <t>Enhanced Remote Command Acknowledge</t>
    <phoneticPr fontId="1" type="noConversion"/>
  </si>
  <si>
    <t>Alarm Report Send</t>
    <phoneticPr fontId="1" type="noConversion"/>
  </si>
  <si>
    <t>Alarm Report Acknowledge</t>
    <phoneticPr fontId="1" type="noConversion"/>
  </si>
  <si>
    <t>List Alarms Request</t>
    <phoneticPr fontId="1" type="noConversion"/>
  </si>
  <si>
    <t>List Alarm Data</t>
    <phoneticPr fontId="1" type="noConversion"/>
  </si>
  <si>
    <t>Trace Data Send</t>
    <phoneticPr fontId="1" type="noConversion"/>
  </si>
  <si>
    <t>Trace Data Acknowledge</t>
    <phoneticPr fontId="1" type="noConversion"/>
  </si>
  <si>
    <t>Unrecognized Stream Type</t>
    <phoneticPr fontId="1" type="noConversion"/>
  </si>
  <si>
    <t>Unrecognized Function Type</t>
    <phoneticPr fontId="1" type="noConversion"/>
  </si>
  <si>
    <t>Transaction Timer Timeout</t>
    <phoneticPr fontId="1" type="noConversion"/>
  </si>
  <si>
    <t>Terminal Request</t>
    <phoneticPr fontId="1" type="noConversion"/>
  </si>
  <si>
    <t>Terminal Request Acknowledge</t>
    <phoneticPr fontId="1" type="noConversion"/>
  </si>
  <si>
    <t>Terminal Display, Single</t>
    <phoneticPr fontId="7" type="noConversion"/>
  </si>
  <si>
    <t>Terminal Display, Single Acknowledge</t>
    <phoneticPr fontId="1" type="noConversion"/>
  </si>
  <si>
    <t>Control State Change Report</t>
    <phoneticPr fontId="1" type="noConversion"/>
  </si>
  <si>
    <t>Equipment State Change Report</t>
    <phoneticPr fontId="1" type="noConversion"/>
  </si>
  <si>
    <t>Lot ID Report</t>
    <phoneticPr fontId="1" type="noConversion"/>
  </si>
  <si>
    <t>LOT ID Request</t>
    <phoneticPr fontId="1" type="noConversion"/>
  </si>
  <si>
    <t>Lot Processing Started Report</t>
    <phoneticPr fontId="1" type="noConversion"/>
  </si>
  <si>
    <t>Product Data Request Report</t>
    <phoneticPr fontId="1" type="noConversion"/>
  </si>
  <si>
    <t>Product Processing Completed Report</t>
    <phoneticPr fontId="1" type="noConversion"/>
  </si>
  <si>
    <t>NG Product Processing Completed Report</t>
    <phoneticPr fontId="1" type="noConversion"/>
  </si>
  <si>
    <t>Lot Processing Completed Report</t>
    <phoneticPr fontId="1" type="noConversion"/>
  </si>
  <si>
    <t>NG Lot Processing Completed Report</t>
    <phoneticPr fontId="1" type="noConversion"/>
  </si>
  <si>
    <t>Canceled Report</t>
    <phoneticPr fontId="1" type="noConversion"/>
  </si>
  <si>
    <t>Aborted Report</t>
    <phoneticPr fontId="1" type="noConversion"/>
  </si>
  <si>
    <t>Idle Reason Set Report</t>
    <phoneticPr fontId="1" type="noConversion"/>
  </si>
  <si>
    <t>Idle Reason Reset Report</t>
    <phoneticPr fontId="1" type="noConversion"/>
  </si>
  <si>
    <t>Terminal Message Recognition</t>
    <phoneticPr fontId="1" type="noConversion"/>
  </si>
  <si>
    <t>New Process State Changed Report</t>
    <phoneticPr fontId="1" type="noConversion"/>
  </si>
  <si>
    <t>Equipment Access Mode Changed Report</t>
    <phoneticPr fontId="1" type="noConversion"/>
  </si>
  <si>
    <t>Unit State Changed Report</t>
    <phoneticPr fontId="1" type="noConversion"/>
  </si>
  <si>
    <t>Unit Material Count Report #1</t>
    <phoneticPr fontId="1" type="noConversion"/>
  </si>
  <si>
    <t>Unit Material Count Report #2</t>
    <phoneticPr fontId="1" type="noConversion"/>
  </si>
  <si>
    <t>Unit Material Count Report #3</t>
    <phoneticPr fontId="1" type="noConversion"/>
  </si>
  <si>
    <t>Unit Material Count Report #4</t>
  </si>
  <si>
    <t>Unit Material Count Report #5</t>
  </si>
  <si>
    <t>Down Action Report</t>
    <phoneticPr fontId="1" type="noConversion"/>
  </si>
  <si>
    <t>Idle Reason Report</t>
    <phoneticPr fontId="1" type="noConversion"/>
  </si>
  <si>
    <t>Unit Processing Time Report</t>
    <phoneticPr fontId="1" type="noConversion"/>
  </si>
  <si>
    <t>1. On-Line Identification</t>
    <phoneticPr fontId="1" type="noConversion"/>
  </si>
  <si>
    <t>S2F3</t>
    <phoneticPr fontId="1" type="noConversion"/>
  </si>
  <si>
    <t>S5F5</t>
    <phoneticPr fontId="1" type="noConversion"/>
  </si>
  <si>
    <r>
      <t xml:space="preserve">1. 설비에서 Host로 Terminal Message를 전송함.
</t>
    </r>
    <r>
      <rPr>
        <sz val="10"/>
        <color theme="0" tint="-0.499984740745262"/>
        <rFont val="맑은 고딕"/>
        <family val="3"/>
        <charset val="129"/>
        <scheme val="major"/>
      </rPr>
      <t xml:space="preserve">2. Host는 설비로 응답함.
</t>
    </r>
    <phoneticPr fontId="1" type="noConversion"/>
  </si>
  <si>
    <t>Equipment State 변경되면 보고
[이전 설비 상태]
1 : Init
2 : Idle
3 : Setup
4 : Ready
5 : Executing (=Run)
6 : Pause (=Down)
[현재 설비 상태]
1 : Init
2 : Idle
3 : Setup
4 : Ready
5 : Executing (=Run)
6 : Pause (=Down)</t>
    <phoneticPr fontId="1" type="noConversion"/>
  </si>
  <si>
    <r>
      <rPr>
        <b/>
        <sz val="10"/>
        <color rgb="FFFF0000"/>
        <rFont val="맑은 고딕"/>
        <family val="3"/>
        <charset val="129"/>
        <scheme val="major"/>
      </rPr>
      <t>Reports process state changes in accordance with the newly defined process state definitions.</t>
    </r>
    <r>
      <rPr>
        <sz val="10"/>
        <color theme="1"/>
        <rFont val="맑은 고딕"/>
        <family val="3"/>
        <charset val="129"/>
        <scheme val="major"/>
      </rPr>
      <t xml:space="preserve">
[이전 설비 상태]
1 = RUN
2 = IDLE
3 = DOWN
4 = IDLE STARVED
5 = IDLE BLOCKED
[현재 설비 상태]
1 = RUN
2 = IDLE
3 = DOWN
4 = IDLE STARVED
5 = IDLE BLOCKED</t>
    </r>
    <phoneticPr fontId="1" type="noConversion"/>
  </si>
  <si>
    <t>설비 Access mode(OP, Maint, Eng_Vendor, Eng_MI, Engineer, Admin)가 변경되면 보고
&lt;Equipment Access Mode&gt;
0 = Undefined
1 = OP
2 = Maint
3 = Eng_Vendor
4 = Eng_MI
5 = Engineer
6 = Admin
&gt;6  Reserved</t>
    <phoneticPr fontId="1" type="noConversion"/>
  </si>
  <si>
    <t>1 = RUN
2 = IDLE
3 = DOWN
4 = IDLE STARVED
5 = IDLE BLOCKED</t>
    <phoneticPr fontId="1" type="noConversion"/>
  </si>
  <si>
    <t>Reports actual input and processing result counts (OK/NG) for all materials (Main and Sub) by unit.
0	TIME	YYYYMMDDhhmmss
1	OPERATORID	Operator ID
2	UNITID	Unit ID
3	MATERIALCOUNTLISTQTY	"Qty는 자재 종류 수량(n)을 보고
(아래 5개의 데이터가 한 Set)"
4	MATERIALTYPE#1	Material Type (자재 유형 코드)
5	SLOTNO#1	하나의 Unit에 같은 자재 유형이 존재하는 경우의 Slot Number로 구분
6	INPUTMATERIALCOUNT#1	자재 투입 수량
7	GOODMATERIALCOUNT#1	자재 배출 수량 (OK)
8	NGMATERIALCOUNT#1	자재 배출 수량 (NG)</t>
    <phoneticPr fontId="1" type="noConversion"/>
  </si>
  <si>
    <r>
      <t xml:space="preserve">Down 발생 시 조치내역 보고
0	TIME	YYYYMMDDhhmmss
1	ACTIONCODE	Down 발생 후 조치 Code
2	ACTIONDESCRIPTION	Down 발생 후 조치 내역 Text
3	DOWNSTARTTIME	Down Start Time (Down 발생 시간)
4	DOWNENDTIME	Down End Time (Down 조치 완료 시간)
5	OPERATORID	Operator ID
6	ALARMLISTQTY	Qty는 Alarm 발생 수량(n) 보고(Aarm ID, Alarm Category, Alarm Text의 3개 데이터가 한 Set)
7	ALARMID#1	DOWN 시 발생한 Alarm ID #1
8	ALARMCATEGORY#1	"DOWN 시 발생한 Alarm Category #1
11 = 비가동 중 알람
21 = 경알람 (Light Alarm)
31 = 품질 관련 알람 (Heavy Alarm)
32 = 생산 관련 알람 (Heavy Alarm)
33 = 설비 Trouble (Heavy Alarm)"
9	ALARMTEXT#1	DOWN 시 발생한 Alarm Text #1
</t>
    </r>
    <r>
      <rPr>
        <sz val="10"/>
        <color rgb="FFFF0000"/>
        <rFont val="Tahoma"/>
        <family val="3"/>
        <charset val="1"/>
      </rPr>
      <t>⁝</t>
    </r>
    <r>
      <rPr>
        <sz val="10"/>
        <color rgb="FFFF0000"/>
        <rFont val="맑은 고딕"/>
        <family val="3"/>
        <charset val="129"/>
        <scheme val="major"/>
      </rPr>
      <t xml:space="preserve">	</t>
    </r>
    <r>
      <rPr>
        <sz val="10"/>
        <color rgb="FFFF0000"/>
        <rFont val="Tahoma"/>
        <family val="3"/>
        <charset val="1"/>
      </rPr>
      <t>⁝</t>
    </r>
    <phoneticPr fontId="1" type="noConversion"/>
  </si>
  <si>
    <t>1. Host에서 Are You There 전송
2. 설비는 Online Data 응답</t>
    <phoneticPr fontId="1" type="noConversion"/>
  </si>
  <si>
    <t>1. 설비에서 Are You There 전송
2. Host는 Online Data 응답</t>
    <phoneticPr fontId="1" type="noConversion"/>
  </si>
  <si>
    <t>1. 설비에 설비상태 요청
2. 요청된 설비의 상태 응답</t>
    <phoneticPr fontId="1" type="noConversion"/>
  </si>
  <si>
    <t>1. Selected Equipment Status Request</t>
    <phoneticPr fontId="1" type="noConversion"/>
  </si>
  <si>
    <t>S1F3</t>
    <phoneticPr fontId="1" type="noConversion"/>
  </si>
  <si>
    <t>1. Link Test</t>
    <phoneticPr fontId="1" type="noConversion"/>
  </si>
  <si>
    <t>1. Link Test Request</t>
    <phoneticPr fontId="1" type="noConversion"/>
  </si>
  <si>
    <t>1. List Alarms Request</t>
    <phoneticPr fontId="1" type="noConversion"/>
  </si>
  <si>
    <t>Common : TIME ,LOTID, RECIPEID, OPERATORID
Result : RESULT (n=2)   CODE,   TEXT</t>
    <phoneticPr fontId="1" type="noConversion"/>
  </si>
  <si>
    <t>Common : TIME, LOTID, RECIPEID, OPERATORID
Result : RESULT (n=2)   CODE,  TEXT</t>
    <phoneticPr fontId="1" type="noConversion"/>
  </si>
  <si>
    <t>Common : TIME, LOTID, RECIPEID, OPERATORID
Result : RESULT (n=2)   MODULEID, CODE,  TEXT</t>
    <phoneticPr fontId="1" type="noConversion"/>
  </si>
  <si>
    <t>Common : TIME,PROCID,,MODEL,LOTID,RECIPEID,TOTALQTY,OPERATORID</t>
    <phoneticPr fontId="1" type="noConversion"/>
  </si>
  <si>
    <t>Common : TIME, PROCID, MODEL,  LOTID, RECIPEID, TOTALQTY, OPERATORID</t>
    <phoneticPr fontId="1" type="noConversion"/>
  </si>
  <si>
    <t>Common : TIME, LOTID, PROCID, MODEL, MODULEID, RESULT, DETAIL, OPERATORID</t>
    <phoneticPr fontId="1" type="noConversion"/>
  </si>
  <si>
    <t>Online Scenario 해당시점에 Idle Reason Code 전송
Common : TIME
Idle Reason Code List : IDLEREASONCODELIST,  IDLEREASONINFO, CPNAME,  CPVALUE</t>
    <phoneticPr fontId="1" type="noConversion"/>
  </si>
  <si>
    <t>Online Scenario 해당시점에 Down Action Code 전송
Common : TIME, OPERATORID 
Down Action Code List : DOWNACTIONCODELIST,  DOWNACTIONINFO,  CPNAME,  CPVALUE</t>
    <phoneticPr fontId="1" type="noConversion"/>
  </si>
  <si>
    <r>
      <t xml:space="preserve">1. Host에서 설비로 Terminal Message를 전송함.
2. 설비는 Terminal Message를 화면에 표시하고, 수신한 Terminal Message 이력 관리함.
</t>
    </r>
    <r>
      <rPr>
        <sz val="10"/>
        <color theme="0" tint="-0.499984740745262"/>
        <rFont val="맑은 고딕"/>
        <family val="3"/>
        <charset val="129"/>
        <scheme val="major"/>
      </rPr>
      <t>3. 설비에 Terminal Message 입력창이 있을 경우, 작업자는 Message 입력 후 Host로 전송 가능함.</t>
    </r>
    <phoneticPr fontId="1" type="noConversion"/>
  </si>
  <si>
    <r>
      <t xml:space="preserve">1. Terminal Display, Single
</t>
    </r>
    <r>
      <rPr>
        <sz val="10"/>
        <color theme="0" tint="-0.499984740745262"/>
        <rFont val="맑은 고딕"/>
        <family val="3"/>
        <charset val="129"/>
        <scheme val="major"/>
      </rPr>
      <t>2. Terminal Request</t>
    </r>
    <phoneticPr fontId="1" type="noConversion"/>
  </si>
  <si>
    <r>
      <t xml:space="preserve">S10F1
</t>
    </r>
    <r>
      <rPr>
        <sz val="10"/>
        <color theme="0" tint="-0.499984740745262"/>
        <rFont val="맑은 고딕"/>
        <family val="3"/>
        <charset val="129"/>
        <scheme val="major"/>
      </rPr>
      <t>S10F3</t>
    </r>
    <phoneticPr fontId="1" type="noConversion"/>
  </si>
  <si>
    <r>
      <t xml:space="preserve">S10F3
</t>
    </r>
    <r>
      <rPr>
        <sz val="10"/>
        <color theme="0" tint="-0.499984740745262"/>
        <rFont val="맑은 고딕"/>
        <family val="3"/>
        <charset val="129"/>
        <scheme val="major"/>
      </rPr>
      <t>S10F1</t>
    </r>
    <phoneticPr fontId="1" type="noConversion"/>
  </si>
  <si>
    <r>
      <t xml:space="preserve">1. Terminal Request
</t>
    </r>
    <r>
      <rPr>
        <sz val="10"/>
        <color theme="0" tint="-0.499984740745262"/>
        <rFont val="맑은 고딕"/>
        <family val="3"/>
        <charset val="129"/>
        <scheme val="major"/>
      </rPr>
      <t>2. Terminal Display, Single</t>
    </r>
    <phoneticPr fontId="1" type="noConversion"/>
  </si>
  <si>
    <t>Control State 변경되면 보고
1 : Online / 2 : Offine</t>
    <phoneticPr fontId="1" type="noConversion"/>
  </si>
  <si>
    <t>S9F3 : Unrecognized Stream Type
S9F5 : Unrecognized Function Type
S9F9 : Transaction Timer Timeout
S9F13 : Transaction Timer Timeout</t>
    <phoneticPr fontId="1" type="noConversion"/>
  </si>
  <si>
    <t>SxFy
S9F3
S9F5
S9F9
S9F13</t>
    <phoneticPr fontId="1" type="noConversion"/>
  </si>
  <si>
    <t>Lot ID를 Reading 시 보고</t>
    <phoneticPr fontId="1" type="noConversion"/>
  </si>
  <si>
    <t>Lot ID를 Request 시 보고</t>
    <phoneticPr fontId="1" type="noConversion"/>
  </si>
  <si>
    <t>Lot Start 이벤트 보고</t>
    <phoneticPr fontId="1" type="noConversion"/>
  </si>
  <si>
    <t>설비에 설정된 시간을 초과하는 경우 보고
(설비 비가동 시작시간 / 종료시간 / 사유)</t>
    <phoneticPr fontId="1" type="noConversion"/>
  </si>
  <si>
    <t>Tray Processing 이후 작업 취소 (Abort) 시 보고</t>
    <phoneticPr fontId="1" type="noConversion"/>
  </si>
  <si>
    <t>작업 취소 시 보고 
(레시피 오토체인지 불가시)</t>
    <phoneticPr fontId="1" type="noConversion"/>
  </si>
  <si>
    <t>NG Lot Completed 이벤트 보고</t>
    <phoneticPr fontId="1" type="noConversion"/>
  </si>
  <si>
    <t>Lot Completed 이벤트 보고</t>
    <phoneticPr fontId="1" type="noConversion"/>
  </si>
  <si>
    <t>NG Tray 내 Product 작업 완료 시 보고</t>
    <phoneticPr fontId="1" type="noConversion"/>
  </si>
  <si>
    <t>Tray 내 Product 작업 완료 시 보고</t>
    <phoneticPr fontId="1" type="noConversion"/>
  </si>
  <si>
    <t>Product의 Product 정보 요청 시 보고</t>
    <phoneticPr fontId="1" type="noConversion"/>
  </si>
  <si>
    <t>1.1 Are You There Request</t>
    <phoneticPr fontId="1" type="noConversion"/>
  </si>
  <si>
    <t>1.2 Are You There Request</t>
    <phoneticPr fontId="1" type="noConversion"/>
  </si>
  <si>
    <t>1.3 Selected Equipment Status Request</t>
    <phoneticPr fontId="1" type="noConversion"/>
  </si>
  <si>
    <t>2 Time Synchronization</t>
    <phoneticPr fontId="1" type="noConversion"/>
  </si>
  <si>
    <t>2.1 Link Test Request</t>
    <phoneticPr fontId="1" type="noConversion"/>
  </si>
  <si>
    <t>2.2 Date Time Request</t>
    <phoneticPr fontId="1" type="noConversion"/>
  </si>
  <si>
    <t>2.3 Time Synchronization Data Request By Host</t>
    <phoneticPr fontId="1" type="noConversion"/>
  </si>
  <si>
    <t>3 Alarm Management</t>
    <phoneticPr fontId="1" type="noConversion"/>
  </si>
  <si>
    <t>3.1 Alarm Set(=발생) / Reset(=해제) Report</t>
    <phoneticPr fontId="1" type="noConversion"/>
  </si>
  <si>
    <t>3.2 List Alarms Request</t>
    <phoneticPr fontId="1" type="noConversion"/>
  </si>
  <si>
    <t>4. Remote Control</t>
    <phoneticPr fontId="1" type="noConversion"/>
  </si>
  <si>
    <t>4.1 LOT_START</t>
    <phoneticPr fontId="1" type="noConversion"/>
  </si>
  <si>
    <t>4.2 LOT_ID_FAIL</t>
    <phoneticPr fontId="1" type="noConversion"/>
  </si>
  <si>
    <t>4.3 NG_LOT_START</t>
    <phoneticPr fontId="1" type="noConversion"/>
  </si>
  <si>
    <t>4.4 NG_LOT_ID_FAIL</t>
    <phoneticPr fontId="1" type="noConversion"/>
  </si>
  <si>
    <t>4.5 PRODUCT_ID_FAIL</t>
    <phoneticPr fontId="1" type="noConversion"/>
  </si>
  <si>
    <t>4.6 PRODUCT_DATA</t>
    <phoneticPr fontId="1" type="noConversion"/>
  </si>
  <si>
    <t>4.7 SETCODE_IDLE_REASON</t>
    <phoneticPr fontId="1" type="noConversion"/>
  </si>
  <si>
    <t>4.8 SETCODE_DOWN_ACTION</t>
    <phoneticPr fontId="1" type="noConversion"/>
  </si>
  <si>
    <t>5. Data Collection</t>
    <phoneticPr fontId="1" type="noConversion"/>
  </si>
  <si>
    <t xml:space="preserve">5.1 Collection Event Occurs on the Equipment </t>
    <phoneticPr fontId="1" type="noConversion"/>
  </si>
  <si>
    <t>5.2 Trace Data Collection</t>
    <phoneticPr fontId="1" type="noConversion"/>
  </si>
  <si>
    <t>6. Terminal Services</t>
    <phoneticPr fontId="1" type="noConversion"/>
  </si>
  <si>
    <t>6.1 Host sends information to an equipment’s display device</t>
    <phoneticPr fontId="1" type="noConversion"/>
  </si>
  <si>
    <t>6.2 Operator sends information to host</t>
    <phoneticPr fontId="1" type="noConversion"/>
  </si>
  <si>
    <t>7. Control</t>
    <phoneticPr fontId="1" type="noConversion"/>
  </si>
  <si>
    <t>7.1 Control State Change Report</t>
    <phoneticPr fontId="1" type="noConversion"/>
  </si>
  <si>
    <t>8. Equipment Online Operation Scenario</t>
    <phoneticPr fontId="1" type="noConversion"/>
  </si>
  <si>
    <t>8.1 Lot ID Report</t>
    <phoneticPr fontId="1" type="noConversion"/>
  </si>
  <si>
    <t>8.2 LOT ID Request</t>
    <phoneticPr fontId="1" type="noConversion"/>
  </si>
  <si>
    <t>8.3 LOT_START</t>
    <phoneticPr fontId="1" type="noConversion"/>
  </si>
  <si>
    <t>8.4 Lot Processing Started Report</t>
    <phoneticPr fontId="1" type="noConversion"/>
  </si>
  <si>
    <t>8.5 Product Data Request Report</t>
    <phoneticPr fontId="1" type="noConversion"/>
  </si>
  <si>
    <t>8.6 PRODUCT_DATA</t>
    <phoneticPr fontId="1" type="noConversion"/>
  </si>
  <si>
    <t>8.7 Product Processing Completed Report</t>
    <phoneticPr fontId="1" type="noConversion"/>
  </si>
  <si>
    <t>8.8 NG Product Processing Completed Report</t>
    <phoneticPr fontId="1" type="noConversion"/>
  </si>
  <si>
    <t>8.9 Lot Processing Completed Report</t>
    <phoneticPr fontId="1" type="noConversion"/>
  </si>
  <si>
    <t>8.10 NG Lot Processing Completed Report</t>
    <phoneticPr fontId="1" type="noConversion"/>
  </si>
  <si>
    <t>8.11 Canceled Report</t>
    <phoneticPr fontId="1" type="noConversion"/>
  </si>
  <si>
    <t>8.12 Aborted Report</t>
    <phoneticPr fontId="1" type="noConversion"/>
  </si>
  <si>
    <t>8.13 Idle Reason Set Report</t>
    <phoneticPr fontId="1" type="noConversion"/>
  </si>
  <si>
    <t>8.14 Idle Reason Reset Report</t>
    <phoneticPr fontId="1" type="noConversion"/>
  </si>
  <si>
    <t>9. Equipment State</t>
    <phoneticPr fontId="1" type="noConversion"/>
  </si>
  <si>
    <t>9.1 Equipment State Change Report</t>
    <phoneticPr fontId="1" type="noConversion"/>
  </si>
  <si>
    <t>9.2 Equipment Access Mode Changed Report</t>
    <phoneticPr fontId="1" type="noConversion"/>
  </si>
  <si>
    <t>9.3 Idle Reason Report</t>
    <phoneticPr fontId="1" type="noConversion"/>
  </si>
  <si>
    <t>9.4 New Process State Changed Report</t>
    <phoneticPr fontId="1" type="noConversion"/>
  </si>
  <si>
    <t>9.5 Down Action Report</t>
    <phoneticPr fontId="1" type="noConversion"/>
  </si>
  <si>
    <t>10. Unit State</t>
    <phoneticPr fontId="1" type="noConversion"/>
  </si>
  <si>
    <t>10.1 Unit State Changed Report</t>
    <phoneticPr fontId="1" type="noConversion"/>
  </si>
  <si>
    <t>10.2 Unit Material Count Report</t>
    <phoneticPr fontId="1" type="noConversion"/>
  </si>
  <si>
    <t>11. Lot Processing</t>
    <phoneticPr fontId="1" type="noConversion"/>
  </si>
  <si>
    <t>11.1 Unit Processing Time Report</t>
    <phoneticPr fontId="1" type="noConversion"/>
  </si>
  <si>
    <t>12. Abnormal</t>
    <phoneticPr fontId="1" type="noConversion"/>
  </si>
  <si>
    <t>12.1 Communication Error</t>
    <phoneticPr fontId="1" type="noConversion"/>
  </si>
  <si>
    <t>12.2 Abort Transaction (Equipment is in Offline)</t>
    <phoneticPr fontId="1" type="noConversion"/>
  </si>
  <si>
    <t>[자화전자][SI][설비IF]광학CM_VTask_설비온라인</t>
    <phoneticPr fontId="7" type="noConversion"/>
  </si>
  <si>
    <t>배준석</t>
    <phoneticPr fontId="18" type="noConversion"/>
  </si>
  <si>
    <t>박민용</t>
    <phoneticPr fontId="1" type="noConversion"/>
  </si>
  <si>
    <t xml:space="preserve"> - 테스트 일정 : 2026.xx.xx~2026.xx.xx (테스트 N일차 [2026.xx.xx])</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</si>
</sst>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m&quot;/&quot;d;@"/>
    <numFmt numFmtId="177" formatCode="yy&quot;/&quot;m&quot;/&quot;d;@"/>
    <numFmt numFmtId="178" formatCode="mm&quot;/&quot;dd"/>
    <numFmt numFmtId="179" formatCode="0.0%"/>
    <numFmt numFmtId="180" formatCode="hh:mm"/>
    <numFmt numFmtId="181" formatCode="000\-000"/>
    <numFmt numFmtId="182" formatCode="yyyy&quot;/&quot;mm&quot;/&quot;dd"/>
    <numFmt numFmtId="183" formatCode="#00#"/>
  </numFmts>
  <fonts count="56">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8"/>
      <name val="맑은 고딕"/>
      <family val="3"/>
      <charset val="129"/>
      <scheme val="minor"/>
    </font>
    <font>
      <sz val="10"/>
      <color theme="1"/>
      <name val="맑은 고딕"/>
      <family val="3"/>
      <charset val="129"/>
      <scheme val="minor"/>
    </font>
    <font>
      <sz val="10"/>
      <name val="맑은 고딕"/>
      <family val="3"/>
      <charset val="129"/>
      <scheme val="minor"/>
    </font>
    <font>
      <b/>
      <sz val="16"/>
      <name val="맑은 고딕"/>
      <family val="3"/>
      <charset val="129"/>
    </font>
    <font>
      <sz val="8"/>
      <name val="돋움"/>
      <family val="3"/>
      <charset val="129"/>
    </font>
    <font>
      <sz val="11"/>
      <name val="돋움"/>
      <family val="3"/>
      <charset val="129"/>
    </font>
    <font>
      <sz val="10"/>
      <name val="맑은 고딕"/>
      <family val="3"/>
      <charset val="129"/>
    </font>
    <font>
      <b/>
      <sz val="10"/>
      <name val="맑은 고딕"/>
      <family val="3"/>
      <charset val="129"/>
    </font>
    <font>
      <b/>
      <sz val="8"/>
      <name val="맑은 고딕"/>
      <family val="3"/>
      <charset val="129"/>
    </font>
    <font>
      <b/>
      <sz val="10"/>
      <color indexed="81"/>
      <name val="Tahoma"/>
      <family val="2"/>
    </font>
    <font>
      <b/>
      <sz val="10"/>
      <color indexed="81"/>
      <name val="굴림"/>
      <family val="3"/>
      <charset val="129"/>
    </font>
    <font>
      <b/>
      <u/>
      <sz val="16"/>
      <name val="맑은 고딕"/>
      <family val="3"/>
      <charset val="129"/>
    </font>
    <font>
      <b/>
      <sz val="12"/>
      <name val="맑은 고딕"/>
      <family val="3"/>
      <charset val="129"/>
    </font>
    <font>
      <sz val="12"/>
      <name val="맑은 고딕"/>
      <family val="3"/>
      <charset val="129"/>
    </font>
    <font>
      <b/>
      <sz val="12"/>
      <color indexed="62"/>
      <name val="맑은 고딕"/>
      <family val="3"/>
      <charset val="129"/>
    </font>
    <font>
      <sz val="8"/>
      <name val="맑은 고딕"/>
      <family val="3"/>
      <charset val="129"/>
    </font>
    <font>
      <sz val="11"/>
      <name val="맑은 고딕"/>
      <family val="3"/>
      <charset val="129"/>
      <scheme val="minor"/>
    </font>
    <font>
      <b/>
      <sz val="14"/>
      <name val="맑은 고딕"/>
      <family val="3"/>
      <charset val="129"/>
      <scheme val="minor"/>
    </font>
    <font>
      <b/>
      <u/>
      <sz val="14"/>
      <name val="맑은 고딕"/>
      <family val="3"/>
      <charset val="129"/>
      <scheme val="minor"/>
    </font>
    <font>
      <b/>
      <sz val="10"/>
      <name val="맑은 고딕"/>
      <family val="3"/>
      <charset val="129"/>
      <scheme val="minor"/>
    </font>
    <font>
      <b/>
      <sz val="17"/>
      <name val="맑은 고딕"/>
      <family val="3"/>
      <charset val="129"/>
      <scheme val="minor"/>
    </font>
    <font>
      <b/>
      <sz val="11"/>
      <name val="맑은 고딕"/>
      <family val="3"/>
      <charset val="129"/>
      <scheme val="minor"/>
    </font>
    <font>
      <b/>
      <sz val="16"/>
      <name val="맑은 고딕"/>
      <family val="3"/>
      <charset val="129"/>
      <scheme val="minor"/>
    </font>
    <font>
      <b/>
      <sz val="10"/>
      <color theme="1"/>
      <name val="맑은 고딕"/>
      <family val="3"/>
      <charset val="129"/>
      <scheme val="minor"/>
    </font>
    <font>
      <b/>
      <sz val="24"/>
      <color theme="1"/>
      <name val="맑은 고딕"/>
      <family val="3"/>
      <charset val="129"/>
      <scheme val="minor"/>
    </font>
    <font>
      <b/>
      <sz val="10"/>
      <color indexed="81"/>
      <name val="맑은 고딕"/>
      <family val="3"/>
      <charset val="129"/>
      <scheme val="minor"/>
    </font>
    <font>
      <sz val="9"/>
      <name val="맑은 고딕"/>
      <family val="3"/>
      <charset val="129"/>
      <scheme val="major"/>
    </font>
    <font>
      <sz val="11"/>
      <name val="맑은 고딕"/>
      <family val="3"/>
      <charset val="129"/>
      <scheme val="major"/>
    </font>
    <font>
      <sz val="10"/>
      <name val="맑은 고딕"/>
      <family val="3"/>
      <charset val="129"/>
      <scheme val="major"/>
    </font>
    <font>
      <sz val="10"/>
      <color theme="1"/>
      <name val="맑은 고딕"/>
      <family val="3"/>
      <charset val="129"/>
      <scheme val="major"/>
    </font>
    <font>
      <b/>
      <u/>
      <sz val="18"/>
      <name val="맑은 고딕"/>
      <family val="3"/>
      <charset val="129"/>
      <scheme val="major"/>
    </font>
    <font>
      <b/>
      <sz val="18"/>
      <name val="맑은 고딕"/>
      <family val="3"/>
      <charset val="129"/>
      <scheme val="major"/>
    </font>
    <font>
      <b/>
      <sz val="16"/>
      <name val="맑은 고딕"/>
      <family val="3"/>
      <charset val="129"/>
      <scheme val="major"/>
    </font>
    <font>
      <sz val="10"/>
      <color rgb="FFFF0000"/>
      <name val="맑은 고딕"/>
      <family val="3"/>
      <charset val="129"/>
      <scheme val="major"/>
    </font>
    <font>
      <b/>
      <sz val="11"/>
      <name val="맑은 고딕"/>
      <family val="3"/>
      <charset val="129"/>
      <scheme val="major"/>
    </font>
    <font>
      <b/>
      <sz val="10"/>
      <name val="맑은 고딕"/>
      <family val="3"/>
      <charset val="129"/>
      <scheme val="major"/>
    </font>
    <font>
      <b/>
      <sz val="11"/>
      <color theme="1"/>
      <name val="맑은 고딕"/>
      <family val="3"/>
      <charset val="129"/>
      <scheme val="major"/>
    </font>
    <font>
      <sz val="11"/>
      <color theme="1"/>
      <name val="맑은 고딕"/>
      <family val="3"/>
      <charset val="129"/>
      <scheme val="major"/>
    </font>
    <font>
      <b/>
      <sz val="10"/>
      <color rgb="FF000000"/>
      <name val="맑은 고딕"/>
      <family val="3"/>
      <charset val="129"/>
      <scheme val="major"/>
    </font>
    <font>
      <sz val="10"/>
      <color rgb="FF000000"/>
      <name val="맑은 고딕"/>
      <family val="3"/>
      <charset val="129"/>
      <scheme val="major"/>
    </font>
    <font>
      <sz val="10"/>
      <color theme="0" tint="-0.499984740745262"/>
      <name val="맑은 고딕"/>
      <family val="3"/>
      <charset val="129"/>
      <scheme val="major"/>
    </font>
    <font>
      <sz val="11"/>
      <color indexed="9"/>
      <name val="맑은 고딕"/>
      <family val="3"/>
      <charset val="129"/>
      <scheme val="major"/>
    </font>
    <font>
      <sz val="10"/>
      <color indexed="9"/>
      <name val="맑은 고딕"/>
      <family val="3"/>
      <charset val="129"/>
      <scheme val="major"/>
    </font>
    <font>
      <b/>
      <sz val="9"/>
      <name val="맑은 고딕"/>
      <family val="3"/>
      <charset val="129"/>
      <scheme val="major"/>
    </font>
    <font>
      <b/>
      <sz val="10"/>
      <color rgb="FFFF0000"/>
      <name val="맑은 고딕"/>
      <family val="3"/>
      <charset val="129"/>
      <scheme val="major"/>
    </font>
    <font>
      <sz val="10"/>
      <color rgb="FF0000FF"/>
      <name val="맑은 고딕"/>
      <family val="3"/>
      <charset val="129"/>
      <scheme val="major"/>
    </font>
    <font>
      <sz val="9"/>
      <name val="맑은 고딕"/>
      <family val="3"/>
      <charset val="129"/>
    </font>
    <font>
      <sz val="9"/>
      <name val="LG스마트체 Regular"/>
      <family val="3"/>
      <charset val="129"/>
    </font>
    <font>
      <sz val="9"/>
      <color indexed="81"/>
      <name val="Tahoma"/>
      <family val="2"/>
    </font>
    <font>
      <sz val="10"/>
      <color theme="1"/>
      <name val="맑은 고딕"/>
      <family val="3"/>
      <charset val="129"/>
    </font>
    <font>
      <b/>
      <sz val="9"/>
      <color indexed="81"/>
      <name val="Tahoma"/>
      <family val="2"/>
    </font>
    <font>
      <sz val="9"/>
      <color indexed="81"/>
      <name val="돋움"/>
      <family val="3"/>
      <charset val="129"/>
    </font>
    <font>
      <sz val="10"/>
      <color rgb="FFFF0000"/>
      <name val="Tahoma"/>
      <family val="3"/>
      <charset val="1"/>
    </font>
  </fonts>
  <fills count="13">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indexed="43"/>
        <bgColor indexed="64"/>
      </patternFill>
    </fill>
    <fill>
      <patternFill patternType="solid">
        <fgColor indexed="22"/>
        <bgColor indexed="64"/>
      </patternFill>
    </fill>
    <fill>
      <patternFill patternType="solid">
        <fgColor rgb="FFDDDDDD"/>
        <bgColor indexed="64"/>
      </patternFill>
    </fill>
    <fill>
      <patternFill patternType="solid">
        <fgColor theme="7" tint="0.59999389629810485"/>
        <bgColor indexed="64"/>
      </patternFill>
    </fill>
    <fill>
      <patternFill patternType="solid">
        <fgColor rgb="FFFFFFCC"/>
        <bgColor indexed="64"/>
      </patternFill>
    </fill>
    <fill>
      <patternFill patternType="solid">
        <fgColor theme="9" tint="0.79998168889431442"/>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diagonal/>
    </border>
    <border>
      <left style="medium">
        <color rgb="FFC00000"/>
      </left>
      <right style="thin">
        <color indexed="64"/>
      </right>
      <top style="thin">
        <color indexed="64"/>
      </top>
      <bottom/>
      <diagonal/>
    </border>
    <border>
      <left/>
      <right style="medium">
        <color rgb="FFC00000"/>
      </right>
      <top style="thin">
        <color indexed="64"/>
      </top>
      <bottom style="thin">
        <color indexed="64"/>
      </bottom>
      <diagonal/>
    </border>
    <border>
      <left style="medium">
        <color rgb="FFC00000"/>
      </left>
      <right style="thin">
        <color indexed="64"/>
      </right>
      <top/>
      <bottom style="medium">
        <color indexed="64"/>
      </bottom>
      <diagonal/>
    </border>
    <border>
      <left style="medium">
        <color rgb="FFC00000"/>
      </left>
      <right style="thin">
        <color indexed="64"/>
      </right>
      <top/>
      <bottom style="thin">
        <color indexed="64"/>
      </bottom>
      <diagonal/>
    </border>
    <border>
      <left style="thin">
        <color indexed="64"/>
      </left>
      <right style="medium">
        <color rgb="FFC00000"/>
      </right>
      <top/>
      <bottom style="thin">
        <color indexed="64"/>
      </bottom>
      <diagonal/>
    </border>
    <border>
      <left style="medium">
        <color rgb="FFC00000"/>
      </left>
      <right style="thin">
        <color indexed="64"/>
      </right>
      <top style="medium">
        <color indexed="64"/>
      </top>
      <bottom style="medium">
        <color rgb="FFC00000"/>
      </bottom>
      <diagonal/>
    </border>
    <border>
      <left/>
      <right style="thin">
        <color indexed="64"/>
      </right>
      <top style="medium">
        <color indexed="64"/>
      </top>
      <bottom style="medium">
        <color rgb="FFC00000"/>
      </bottom>
      <diagonal/>
    </border>
    <border>
      <left style="thin">
        <color indexed="64"/>
      </left>
      <right style="thin">
        <color indexed="64"/>
      </right>
      <top style="medium">
        <color indexed="64"/>
      </top>
      <bottom style="medium">
        <color rgb="FFC00000"/>
      </bottom>
      <diagonal/>
    </border>
    <border>
      <left style="thin">
        <color indexed="64"/>
      </left>
      <right style="medium">
        <color rgb="FFC00000"/>
      </right>
      <top style="medium">
        <color indexed="64"/>
      </top>
      <bottom style="medium">
        <color rgb="FFC00000"/>
      </bottom>
      <diagonal/>
    </border>
    <border>
      <left/>
      <right/>
      <top style="medium">
        <color indexed="64"/>
      </top>
      <bottom style="medium">
        <color rgb="FFC00000"/>
      </bottom>
      <diagonal/>
    </border>
    <border>
      <left/>
      <right/>
      <top style="medium">
        <color rgb="FFC00000"/>
      </top>
      <bottom/>
      <diagonal/>
    </border>
    <border>
      <left style="medium">
        <color rgb="FF0000FF"/>
      </left>
      <right/>
      <top style="medium">
        <color rgb="FF0000FF"/>
      </top>
      <bottom style="thin">
        <color indexed="64"/>
      </bottom>
      <diagonal/>
    </border>
    <border>
      <left/>
      <right style="medium">
        <color rgb="FF0000FF"/>
      </right>
      <top style="medium">
        <color rgb="FF0000FF"/>
      </top>
      <bottom style="thin">
        <color indexed="64"/>
      </bottom>
      <diagonal/>
    </border>
    <border>
      <left style="medium">
        <color rgb="FF0000FF"/>
      </left>
      <right style="thin">
        <color indexed="64"/>
      </right>
      <top/>
      <bottom style="thin">
        <color indexed="64"/>
      </bottom>
      <diagonal/>
    </border>
    <border>
      <left style="thin">
        <color indexed="64"/>
      </left>
      <right style="medium">
        <color rgb="FF0000FF"/>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thick">
        <color theme="0" tint="-0.499984740745262"/>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4D4D4D"/>
      </left>
      <right/>
      <top style="thin">
        <color rgb="FF4D4D4D"/>
      </top>
      <bottom/>
      <diagonal/>
    </border>
    <border>
      <left/>
      <right/>
      <top style="thin">
        <color rgb="FF4D4D4D"/>
      </top>
      <bottom/>
      <diagonal/>
    </border>
    <border>
      <left/>
      <right style="thin">
        <color rgb="FF4D4D4D"/>
      </right>
      <top style="thin">
        <color rgb="FF4D4D4D"/>
      </top>
      <bottom/>
      <diagonal/>
    </border>
    <border>
      <left style="thin">
        <color rgb="FF4D4D4D"/>
      </left>
      <right/>
      <top/>
      <bottom/>
      <diagonal/>
    </border>
    <border>
      <left/>
      <right style="thin">
        <color rgb="FF4D4D4D"/>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4D4D4D"/>
      </left>
      <right/>
      <top/>
      <bottom style="thin">
        <color rgb="FF4D4D4D"/>
      </bottom>
      <diagonal/>
    </border>
    <border>
      <left/>
      <right/>
      <top/>
      <bottom style="thin">
        <color rgb="FF4D4D4D"/>
      </bottom>
      <diagonal/>
    </border>
    <border>
      <left/>
      <right style="thin">
        <color rgb="FF4D4D4D"/>
      </right>
      <top/>
      <bottom style="thin">
        <color rgb="FF4D4D4D"/>
      </bottom>
      <diagonal/>
    </border>
    <border>
      <left style="medium">
        <color indexed="64"/>
      </left>
      <right/>
      <top/>
      <bottom/>
      <diagonal/>
    </border>
    <border>
      <left style="thin">
        <color indexed="64"/>
      </left>
      <right style="medium">
        <color rgb="FF0000FF"/>
      </right>
      <top style="thin">
        <color indexed="64"/>
      </top>
      <bottom/>
      <diagonal/>
    </border>
    <border>
      <left style="thin">
        <color indexed="64"/>
      </left>
      <right style="medium">
        <color rgb="FF0000FF"/>
      </right>
      <top/>
      <bottom style="medium">
        <color indexed="64"/>
      </bottom>
      <diagonal/>
    </border>
    <border>
      <left style="medium">
        <color rgb="FF0000FF"/>
      </left>
      <right/>
      <top style="thin">
        <color indexed="64"/>
      </top>
      <bottom style="thin">
        <color indexed="64"/>
      </bottom>
      <diagonal/>
    </border>
    <border>
      <left style="thin">
        <color indexed="64"/>
      </left>
      <right style="medium">
        <color rgb="FFC00000"/>
      </right>
      <top style="thin">
        <color indexed="64"/>
      </top>
      <bottom/>
      <diagonal/>
    </border>
    <border>
      <left style="thin">
        <color indexed="64"/>
      </left>
      <right style="medium">
        <color rgb="FFC00000"/>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C00000"/>
      </right>
      <top style="medium">
        <color indexed="64"/>
      </top>
      <bottom style="thin">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rgb="FF0000FF"/>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C00000"/>
      </left>
      <right style="thin">
        <color indexed="64"/>
      </right>
      <top style="medium">
        <color indexed="64"/>
      </top>
      <bottom style="thin">
        <color indexed="64"/>
      </bottom>
      <diagonal/>
    </border>
    <border>
      <left style="medium">
        <color rgb="FF0000FF"/>
      </left>
      <right style="thin">
        <color indexed="64"/>
      </right>
      <top style="medium">
        <color indexed="64"/>
      </top>
      <bottom style="thin">
        <color indexed="64"/>
      </bottom>
      <diagonal/>
    </border>
    <border>
      <left style="thin">
        <color indexed="64"/>
      </left>
      <right style="medium">
        <color rgb="FF0000FF"/>
      </right>
      <top style="medium">
        <color indexed="64"/>
      </top>
      <bottom style="thin">
        <color indexed="64"/>
      </bottom>
      <diagonal/>
    </border>
    <border>
      <left style="thin">
        <color indexed="64"/>
      </left>
      <right style="medium">
        <color rgb="FFC00000"/>
      </right>
      <top style="medium">
        <color indexed="64"/>
      </top>
      <bottom style="thin">
        <color indexed="64"/>
      </bottom>
      <diagonal/>
    </border>
    <border>
      <left style="medium">
        <color indexed="64"/>
      </left>
      <right style="thin">
        <color indexed="64"/>
      </right>
      <top/>
      <bottom/>
      <diagonal/>
    </border>
    <border>
      <left style="thin">
        <color indexed="64"/>
      </left>
      <right style="medium">
        <color rgb="FFC00000"/>
      </right>
      <top/>
      <bottom/>
      <diagonal/>
    </border>
    <border>
      <left style="medium">
        <color rgb="FFC00000"/>
      </left>
      <right style="thin">
        <color indexed="64"/>
      </right>
      <top/>
      <bottom/>
      <diagonal/>
    </border>
    <border>
      <left style="thin">
        <color indexed="64"/>
      </left>
      <right style="medium">
        <color rgb="FF0000FF"/>
      </right>
      <top/>
      <bottom/>
      <diagonal/>
    </border>
    <border>
      <left style="medium">
        <color rgb="FF0000FF"/>
      </left>
      <right style="thin">
        <color indexed="64"/>
      </right>
      <top style="thin">
        <color indexed="64"/>
      </top>
      <bottom/>
      <diagonal/>
    </border>
    <border>
      <left style="medium">
        <color rgb="FFC00000"/>
      </left>
      <right style="thin">
        <color indexed="64"/>
      </right>
      <top style="thin">
        <color indexed="64"/>
      </top>
      <bottom style="thin">
        <color indexed="64"/>
      </bottom>
      <diagonal/>
    </border>
    <border>
      <left style="medium">
        <color rgb="FF0000FF"/>
      </left>
      <right style="thin">
        <color indexed="64"/>
      </right>
      <top style="thin">
        <color indexed="64"/>
      </top>
      <bottom style="thin">
        <color indexed="64"/>
      </bottom>
      <diagonal/>
    </border>
    <border>
      <left style="thin">
        <color indexed="64"/>
      </left>
      <right style="medium">
        <color rgb="FF0000FF"/>
      </right>
      <top style="thin">
        <color indexed="64"/>
      </top>
      <bottom style="thin">
        <color indexed="64"/>
      </bottom>
      <diagonal/>
    </border>
    <border>
      <left style="thin">
        <color indexed="64"/>
      </left>
      <right style="medium">
        <color rgb="FFC00000"/>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C00000"/>
      </left>
      <right/>
      <top style="medium">
        <color rgb="FFC00000"/>
      </top>
      <bottom/>
      <diagonal/>
    </border>
    <border>
      <left/>
      <right style="medium">
        <color rgb="FFC00000"/>
      </right>
      <top style="medium">
        <color rgb="FFC00000"/>
      </top>
      <bottom/>
      <diagonal/>
    </border>
    <border>
      <left/>
      <right style="medium">
        <color rgb="FF0000FF"/>
      </right>
      <top style="thin">
        <color indexed="64"/>
      </top>
      <bottom style="thin">
        <color indexed="64"/>
      </bottom>
      <diagonal/>
    </border>
    <border>
      <left style="medium">
        <color rgb="FF0000FF"/>
      </left>
      <right style="thin">
        <color indexed="64"/>
      </right>
      <top style="medium">
        <color indexed="64"/>
      </top>
      <bottom style="medium">
        <color rgb="FFC00000"/>
      </bottom>
      <diagonal/>
    </border>
    <border>
      <left style="thin">
        <color indexed="64"/>
      </left>
      <right style="medium">
        <color rgb="FF0000FF"/>
      </right>
      <top style="medium">
        <color indexed="64"/>
      </top>
      <bottom style="medium">
        <color rgb="FFC00000"/>
      </bottom>
      <diagonal/>
    </border>
  </borders>
  <cellStyleXfs count="7">
    <xf numFmtId="0" fontId="0" fillId="0" borderId="0">
      <alignment vertical="center"/>
    </xf>
    <xf numFmtId="9" fontId="2" fillId="0" borderId="0" applyFont="0" applyFill="0" applyBorder="0" applyAlignment="0" applyProtection="0">
      <alignment vertical="center"/>
    </xf>
    <xf numFmtId="0" fontId="8" fillId="0" borderId="0"/>
    <xf numFmtId="0" fontId="8" fillId="0" borderId="0"/>
    <xf numFmtId="41" fontId="2" fillId="0" borderId="0" applyFont="0" applyFill="0" applyBorder="0" applyAlignment="0" applyProtection="0">
      <alignment vertical="center"/>
    </xf>
    <xf numFmtId="0" fontId="8" fillId="0" borderId="0"/>
    <xf numFmtId="0" fontId="8" fillId="0" borderId="0"/>
  </cellStyleXfs>
  <cellXfs count="488">
    <xf numFmtId="0" fontId="0" fillId="0" borderId="0" xfId="0">
      <alignment vertical="center"/>
    </xf>
    <xf numFmtId="0" fontId="9" fillId="0" borderId="0" xfId="0" applyFont="1" applyAlignment="1">
      <alignment horizontal="right" vertical="center" wrapText="1"/>
    </xf>
    <xf numFmtId="0" fontId="9" fillId="0" borderId="0" xfId="0" applyFont="1" applyAlignment="1">
      <alignment horizontal="center" vertical="center" wrapText="1"/>
    </xf>
    <xf numFmtId="0" fontId="10" fillId="0" borderId="13" xfId="0" applyFont="1" applyBorder="1" applyAlignment="1">
      <alignment horizontal="right" vertical="center" wrapText="1"/>
    </xf>
    <xf numFmtId="0" fontId="10" fillId="0" borderId="0" xfId="0" applyFont="1" applyAlignment="1">
      <alignment horizontal="right" vertical="center"/>
    </xf>
    <xf numFmtId="14" fontId="9" fillId="0" borderId="0" xfId="0" applyNumberFormat="1" applyFont="1" applyAlignment="1">
      <alignment horizontal="center" vertical="center" wrapText="1"/>
    </xf>
    <xf numFmtId="0" fontId="10" fillId="0" borderId="0" xfId="0" applyFont="1" applyAlignment="1">
      <alignment horizontal="left" vertical="center" wrapText="1"/>
    </xf>
    <xf numFmtId="0" fontId="14" fillId="0" borderId="0" xfId="0" applyFont="1" applyAlignment="1">
      <alignment horizontal="left" vertical="center"/>
    </xf>
    <xf numFmtId="0" fontId="16" fillId="0" borderId="0" xfId="0" applyFont="1" applyAlignment="1">
      <alignment horizontal="center" vertical="center" wrapText="1"/>
    </xf>
    <xf numFmtId="0" fontId="15" fillId="0" borderId="0" xfId="0" applyFont="1" applyAlignment="1">
      <alignment horizontal="center" vertical="center" wrapText="1"/>
    </xf>
    <xf numFmtId="41" fontId="16" fillId="0" borderId="20" xfId="4" applyFont="1" applyBorder="1" applyAlignment="1">
      <alignment horizontal="right" vertical="center"/>
    </xf>
    <xf numFmtId="41" fontId="16" fillId="0" borderId="4" xfId="4" applyFont="1" applyBorder="1" applyAlignment="1">
      <alignment horizontal="right" vertical="center"/>
    </xf>
    <xf numFmtId="179" fontId="17" fillId="7" borderId="4" xfId="1" applyNumberFormat="1" applyFont="1" applyFill="1" applyBorder="1" applyAlignment="1">
      <alignment horizontal="center" vertical="center" wrapText="1"/>
    </xf>
    <xf numFmtId="41" fontId="15" fillId="0" borderId="22" xfId="4" applyFont="1" applyBorder="1" applyAlignment="1">
      <alignment horizontal="right" vertical="center"/>
    </xf>
    <xf numFmtId="41" fontId="15" fillId="0" borderId="23" xfId="4" applyFont="1" applyBorder="1" applyAlignment="1">
      <alignment horizontal="right" vertical="center"/>
    </xf>
    <xf numFmtId="0" fontId="16" fillId="0" borderId="0" xfId="0" applyFont="1" applyAlignment="1">
      <alignment horizontal="right" vertical="center" wrapText="1"/>
    </xf>
    <xf numFmtId="49" fontId="16" fillId="0" borderId="0" xfId="0" applyNumberFormat="1" applyFont="1" applyAlignment="1">
      <alignment horizontal="left" vertical="center" wrapText="1"/>
    </xf>
    <xf numFmtId="0" fontId="16" fillId="0" borderId="0" xfId="0" applyFont="1" applyAlignment="1">
      <alignment vertical="center" wrapText="1"/>
    </xf>
    <xf numFmtId="181" fontId="16" fillId="0" borderId="0" xfId="0" applyNumberFormat="1" applyFont="1" applyAlignment="1">
      <alignment horizontal="left" vertical="top" wrapText="1"/>
    </xf>
    <xf numFmtId="14" fontId="15" fillId="5" borderId="15" xfId="0" applyNumberFormat="1" applyFont="1" applyFill="1" applyBorder="1" applyAlignment="1">
      <alignment horizontal="center" vertical="center" wrapText="1"/>
    </xf>
    <xf numFmtId="0" fontId="15" fillId="5" borderId="14" xfId="0" applyFont="1" applyFill="1" applyBorder="1" applyAlignment="1">
      <alignment horizontal="center" vertical="center" wrapText="1"/>
    </xf>
    <xf numFmtId="41" fontId="16" fillId="0" borderId="21" xfId="4" applyFont="1" applyBorder="1" applyAlignment="1">
      <alignment horizontal="right" vertical="center"/>
    </xf>
    <xf numFmtId="41" fontId="15" fillId="0" borderId="24" xfId="4" applyFont="1" applyBorder="1" applyAlignment="1">
      <alignment horizontal="right" vertical="center"/>
    </xf>
    <xf numFmtId="41" fontId="16" fillId="0" borderId="17" xfId="4" applyFont="1" applyBorder="1" applyAlignment="1">
      <alignment horizontal="center" vertical="center" wrapText="1"/>
    </xf>
    <xf numFmtId="41" fontId="16" fillId="0" borderId="15" xfId="4" applyFont="1" applyBorder="1" applyAlignment="1">
      <alignment horizontal="center" vertical="center" wrapText="1"/>
    </xf>
    <xf numFmtId="41" fontId="16" fillId="0" borderId="31" xfId="4" applyFont="1" applyBorder="1" applyAlignment="1">
      <alignment horizontal="right" vertical="center"/>
    </xf>
    <xf numFmtId="179" fontId="17" fillId="7" borderId="32" xfId="1" applyNumberFormat="1" applyFont="1" applyFill="1" applyBorder="1" applyAlignment="1">
      <alignment horizontal="center" vertical="center" wrapText="1"/>
    </xf>
    <xf numFmtId="41" fontId="15" fillId="0" borderId="33" xfId="4" applyFont="1" applyBorder="1" applyAlignment="1">
      <alignment horizontal="right" vertical="center"/>
    </xf>
    <xf numFmtId="41" fontId="15" fillId="0" borderId="35" xfId="4" applyFont="1" applyBorder="1" applyAlignment="1">
      <alignment horizontal="right" vertical="center"/>
    </xf>
    <xf numFmtId="179" fontId="17" fillId="7" borderId="35" xfId="1" applyNumberFormat="1" applyFont="1" applyFill="1" applyBorder="1" applyAlignment="1">
      <alignment horizontal="center" vertical="center" wrapText="1"/>
    </xf>
    <xf numFmtId="179" fontId="17" fillId="7" borderId="36" xfId="1" applyNumberFormat="1" applyFont="1" applyFill="1" applyBorder="1" applyAlignment="1">
      <alignment horizontal="center" vertical="center" wrapText="1"/>
    </xf>
    <xf numFmtId="179" fontId="15" fillId="6" borderId="12" xfId="1" applyNumberFormat="1" applyFont="1" applyFill="1" applyBorder="1" applyAlignment="1">
      <alignment horizontal="right" vertical="center"/>
    </xf>
    <xf numFmtId="179" fontId="15" fillId="6" borderId="37" xfId="1" applyNumberFormat="1" applyFont="1" applyFill="1" applyBorder="1" applyAlignment="1">
      <alignment horizontal="right" vertical="center"/>
    </xf>
    <xf numFmtId="41" fontId="16" fillId="0" borderId="11" xfId="4" applyFont="1" applyBorder="1" applyAlignment="1">
      <alignment horizontal="right" vertical="center"/>
    </xf>
    <xf numFmtId="41" fontId="15" fillId="0" borderId="34" xfId="4" applyFont="1" applyBorder="1" applyAlignment="1">
      <alignment horizontal="right" vertical="center"/>
    </xf>
    <xf numFmtId="41" fontId="16" fillId="0" borderId="41" xfId="4" applyFont="1" applyBorder="1" applyAlignment="1">
      <alignment horizontal="right" vertical="center"/>
    </xf>
    <xf numFmtId="179" fontId="17" fillId="7" borderId="42" xfId="1" applyNumberFormat="1" applyFont="1" applyFill="1" applyBorder="1" applyAlignment="1">
      <alignment horizontal="center" vertical="center" wrapText="1"/>
    </xf>
    <xf numFmtId="49" fontId="16" fillId="0" borderId="1" xfId="0" applyNumberFormat="1" applyFont="1" applyBorder="1" applyAlignment="1">
      <alignment horizontal="left" vertical="center" wrapText="1"/>
    </xf>
    <xf numFmtId="49" fontId="16" fillId="0" borderId="45" xfId="0" applyNumberFormat="1" applyFont="1" applyBorder="1" applyAlignment="1">
      <alignment horizontal="left" vertical="center" wrapText="1"/>
    </xf>
    <xf numFmtId="49" fontId="15" fillId="0" borderId="47" xfId="0" applyNumberFormat="1" applyFont="1" applyBorder="1" applyAlignment="1">
      <alignment vertical="center" wrapText="1"/>
    </xf>
    <xf numFmtId="0" fontId="19" fillId="4" borderId="27" xfId="3" applyFont="1" applyFill="1" applyBorder="1" applyAlignment="1">
      <alignment vertical="center"/>
    </xf>
    <xf numFmtId="0" fontId="19" fillId="4" borderId="43" xfId="3" applyFont="1" applyFill="1" applyBorder="1" applyAlignment="1">
      <alignment vertical="center"/>
    </xf>
    <xf numFmtId="0" fontId="19" fillId="4" borderId="43" xfId="3" applyFont="1" applyFill="1" applyBorder="1" applyAlignment="1">
      <alignment horizontal="center" vertical="center"/>
    </xf>
    <xf numFmtId="0" fontId="19" fillId="4" borderId="44" xfId="3" applyFont="1" applyFill="1" applyBorder="1" applyAlignment="1">
      <alignment vertical="center"/>
    </xf>
    <xf numFmtId="0" fontId="19" fillId="4" borderId="0" xfId="3" applyFont="1" applyFill="1" applyAlignment="1">
      <alignment vertical="center"/>
    </xf>
    <xf numFmtId="0" fontId="20" fillId="4" borderId="47" xfId="3" applyFont="1" applyFill="1" applyBorder="1" applyAlignment="1">
      <alignment vertical="center"/>
    </xf>
    <xf numFmtId="0" fontId="20" fillId="4" borderId="45" xfId="3" applyFont="1" applyFill="1" applyBorder="1" applyAlignment="1">
      <alignment vertical="center"/>
    </xf>
    <xf numFmtId="0" fontId="20" fillId="4" borderId="0" xfId="3" applyFont="1" applyFill="1" applyAlignment="1">
      <alignment vertical="center"/>
    </xf>
    <xf numFmtId="0" fontId="21" fillId="4" borderId="0" xfId="3" applyFont="1" applyFill="1" applyAlignment="1">
      <alignment horizontal="center" vertical="center"/>
    </xf>
    <xf numFmtId="0" fontId="19" fillId="4" borderId="47" xfId="3" applyFont="1" applyFill="1" applyBorder="1" applyAlignment="1">
      <alignment vertical="center"/>
    </xf>
    <xf numFmtId="0" fontId="19" fillId="4" borderId="12" xfId="3" applyFont="1" applyFill="1" applyBorder="1" applyAlignment="1">
      <alignment vertical="center"/>
    </xf>
    <xf numFmtId="0" fontId="19" fillId="4" borderId="12" xfId="3" applyFont="1" applyFill="1" applyBorder="1" applyAlignment="1">
      <alignment horizontal="center" vertical="center"/>
    </xf>
    <xf numFmtId="0" fontId="19" fillId="4" borderId="45" xfId="3" applyFont="1" applyFill="1" applyBorder="1" applyAlignment="1">
      <alignment vertical="center"/>
    </xf>
    <xf numFmtId="0" fontId="22" fillId="9" borderId="1" xfId="3" applyFont="1" applyFill="1" applyBorder="1" applyAlignment="1">
      <alignment horizontal="center" vertical="center" wrapText="1"/>
    </xf>
    <xf numFmtId="0" fontId="22" fillId="9" borderId="7" xfId="3" applyFont="1" applyFill="1" applyBorder="1" applyAlignment="1">
      <alignment horizontal="center" vertical="center" wrapText="1"/>
    </xf>
    <xf numFmtId="0" fontId="22" fillId="9" borderId="50" xfId="3" applyFont="1" applyFill="1" applyBorder="1" applyAlignment="1">
      <alignment horizontal="center" vertical="center" wrapText="1"/>
    </xf>
    <xf numFmtId="0" fontId="19" fillId="4" borderId="47" xfId="3" applyFont="1" applyFill="1" applyBorder="1" applyAlignment="1">
      <alignment vertical="top"/>
    </xf>
    <xf numFmtId="49" fontId="5" fillId="4" borderId="1" xfId="3" applyNumberFormat="1" applyFont="1" applyFill="1" applyBorder="1" applyAlignment="1">
      <alignment horizontal="center" vertical="center"/>
    </xf>
    <xf numFmtId="14" fontId="5" fillId="4" borderId="1" xfId="3" applyNumberFormat="1" applyFont="1" applyFill="1" applyBorder="1" applyAlignment="1">
      <alignment horizontal="center" vertical="center"/>
    </xf>
    <xf numFmtId="14" fontId="5" fillId="4" borderId="1" xfId="6" quotePrefix="1" applyNumberFormat="1" applyFont="1" applyFill="1" applyBorder="1" applyAlignment="1">
      <alignment horizontal="center" vertical="center"/>
    </xf>
    <xf numFmtId="0" fontId="5" fillId="4" borderId="1" xfId="3" applyFont="1" applyFill="1" applyBorder="1" applyAlignment="1">
      <alignment horizontal="left" vertical="center" indent="1"/>
    </xf>
    <xf numFmtId="0" fontId="5" fillId="4" borderId="1" xfId="3" applyFont="1" applyFill="1" applyBorder="1" applyAlignment="1">
      <alignment horizontal="center" vertical="center"/>
    </xf>
    <xf numFmtId="0" fontId="5" fillId="4" borderId="50" xfId="3" applyFont="1" applyFill="1" applyBorder="1" applyAlignment="1">
      <alignment horizontal="center" vertical="center"/>
    </xf>
    <xf numFmtId="0" fontId="19" fillId="4" borderId="45" xfId="3" applyFont="1" applyFill="1" applyBorder="1" applyAlignment="1">
      <alignment vertical="top"/>
    </xf>
    <xf numFmtId="0" fontId="19" fillId="4" borderId="0" xfId="3" applyFont="1" applyFill="1" applyAlignment="1">
      <alignment vertical="top"/>
    </xf>
    <xf numFmtId="14" fontId="5" fillId="4" borderId="1" xfId="3" quotePrefix="1" applyNumberFormat="1" applyFont="1" applyFill="1" applyBorder="1" applyAlignment="1">
      <alignment horizontal="center" vertical="center"/>
    </xf>
    <xf numFmtId="49" fontId="5" fillId="4" borderId="2" xfId="3" applyNumberFormat="1" applyFont="1" applyFill="1" applyBorder="1" applyAlignment="1">
      <alignment horizontal="center" vertical="center"/>
    </xf>
    <xf numFmtId="14" fontId="5" fillId="4" borderId="2" xfId="3" applyNumberFormat="1" applyFont="1" applyFill="1" applyBorder="1" applyAlignment="1">
      <alignment horizontal="center" vertical="center"/>
    </xf>
    <xf numFmtId="0" fontId="5" fillId="4" borderId="2" xfId="3" applyFont="1" applyFill="1" applyBorder="1" applyAlignment="1">
      <alignment horizontal="left" vertical="center" indent="1"/>
    </xf>
    <xf numFmtId="0" fontId="5" fillId="4" borderId="2" xfId="3" applyFont="1" applyFill="1" applyBorder="1" applyAlignment="1">
      <alignment horizontal="center" vertical="center"/>
    </xf>
    <xf numFmtId="0" fontId="5" fillId="4" borderId="51" xfId="3" applyFont="1" applyFill="1" applyBorder="1" applyAlignment="1">
      <alignment horizontal="center" vertical="center"/>
    </xf>
    <xf numFmtId="0" fontId="5" fillId="4" borderId="0" xfId="3" applyFont="1" applyFill="1" applyAlignment="1">
      <alignment horizontal="center" vertical="center"/>
    </xf>
    <xf numFmtId="14" fontId="5" fillId="4" borderId="0" xfId="3" applyNumberFormat="1" applyFont="1" applyFill="1" applyAlignment="1">
      <alignment horizontal="center" vertical="center"/>
    </xf>
    <xf numFmtId="0" fontId="5" fillId="4" borderId="0" xfId="3" applyFont="1" applyFill="1" applyAlignment="1">
      <alignment horizontal="left" vertical="center" indent="1"/>
    </xf>
    <xf numFmtId="0" fontId="5" fillId="4" borderId="49" xfId="3" applyFont="1" applyFill="1" applyBorder="1" applyAlignment="1">
      <alignment horizontal="center" vertical="center"/>
    </xf>
    <xf numFmtId="14" fontId="5" fillId="4" borderId="49" xfId="3" applyNumberFormat="1" applyFont="1" applyFill="1" applyBorder="1" applyAlignment="1">
      <alignment horizontal="center" vertical="center"/>
    </xf>
    <xf numFmtId="0" fontId="5" fillId="4" borderId="49" xfId="3" applyFont="1" applyFill="1" applyBorder="1" applyAlignment="1">
      <alignment horizontal="left" vertical="center" indent="1"/>
    </xf>
    <xf numFmtId="0" fontId="19" fillId="4" borderId="21" xfId="3" applyFont="1" applyFill="1" applyBorder="1" applyAlignment="1">
      <alignment vertical="top"/>
    </xf>
    <xf numFmtId="0" fontId="19" fillId="4" borderId="12" xfId="3" applyFont="1" applyFill="1" applyBorder="1" applyAlignment="1">
      <alignment horizontal="center" vertical="top"/>
    </xf>
    <xf numFmtId="182" fontId="19" fillId="4" borderId="12" xfId="3" applyNumberFormat="1" applyFont="1" applyFill="1" applyBorder="1" applyAlignment="1">
      <alignment horizontal="center" vertical="top"/>
    </xf>
    <xf numFmtId="0" fontId="19" fillId="4" borderId="12" xfId="3" applyFont="1" applyFill="1" applyBorder="1" applyAlignment="1">
      <alignment vertical="top"/>
    </xf>
    <xf numFmtId="0" fontId="19" fillId="4" borderId="11" xfId="3" applyFont="1" applyFill="1" applyBorder="1" applyAlignment="1">
      <alignment vertical="top"/>
    </xf>
    <xf numFmtId="0" fontId="19" fillId="4" borderId="0" xfId="3" applyFont="1" applyFill="1" applyAlignment="1">
      <alignment horizontal="center" vertical="top"/>
    </xf>
    <xf numFmtId="182" fontId="19" fillId="4" borderId="0" xfId="3" applyNumberFormat="1" applyFont="1" applyFill="1" applyAlignment="1">
      <alignment horizontal="center" vertical="top"/>
    </xf>
    <xf numFmtId="0" fontId="5" fillId="4" borderId="52" xfId="3" applyFont="1" applyFill="1" applyBorder="1" applyAlignment="1">
      <alignment vertical="top"/>
    </xf>
    <xf numFmtId="0" fontId="5" fillId="4" borderId="53" xfId="3" applyFont="1" applyFill="1" applyBorder="1" applyAlignment="1">
      <alignment vertical="top"/>
    </xf>
    <xf numFmtId="0" fontId="5" fillId="4" borderId="54" xfId="3" applyFont="1" applyFill="1" applyBorder="1" applyAlignment="1">
      <alignment vertical="top"/>
    </xf>
    <xf numFmtId="0" fontId="5" fillId="4" borderId="0" xfId="3" applyFont="1" applyFill="1" applyAlignment="1">
      <alignment vertical="top"/>
    </xf>
    <xf numFmtId="0" fontId="22" fillId="4" borderId="55" xfId="3" applyFont="1" applyFill="1" applyBorder="1" applyAlignment="1">
      <alignment horizontal="right" vertical="top"/>
    </xf>
    <xf numFmtId="0" fontId="5" fillId="4" borderId="56" xfId="3" applyFont="1" applyFill="1" applyBorder="1" applyAlignment="1">
      <alignment vertical="top"/>
    </xf>
    <xf numFmtId="0" fontId="5" fillId="4" borderId="55" xfId="3" applyFont="1" applyFill="1" applyBorder="1" applyAlignment="1">
      <alignment vertical="top"/>
    </xf>
    <xf numFmtId="0" fontId="22" fillId="4" borderId="0" xfId="3" applyFont="1" applyFill="1" applyAlignment="1">
      <alignment horizontal="left" vertical="top" indent="1"/>
    </xf>
    <xf numFmtId="0" fontId="5" fillId="4" borderId="0" xfId="3" applyFont="1" applyFill="1"/>
    <xf numFmtId="0" fontId="22" fillId="4" borderId="0" xfId="3" applyFont="1" applyFill="1" applyAlignment="1">
      <alignment horizontal="right" vertical="top"/>
    </xf>
    <xf numFmtId="0" fontId="22" fillId="4" borderId="0" xfId="3" applyFont="1" applyFill="1" applyAlignment="1">
      <alignment vertical="center"/>
    </xf>
    <xf numFmtId="0" fontId="5" fillId="4" borderId="0" xfId="3" applyFont="1" applyFill="1" applyAlignment="1">
      <alignment vertical="center"/>
    </xf>
    <xf numFmtId="0" fontId="22" fillId="4" borderId="0" xfId="3" applyFont="1" applyFill="1" applyAlignment="1">
      <alignment vertical="top"/>
    </xf>
    <xf numFmtId="0" fontId="22" fillId="4" borderId="0" xfId="3" applyFont="1" applyFill="1" applyAlignment="1">
      <alignment vertical="center" wrapText="1"/>
    </xf>
    <xf numFmtId="0" fontId="22" fillId="4" borderId="0" xfId="3" applyFont="1" applyFill="1" applyAlignment="1">
      <alignment horizontal="left" vertical="center"/>
    </xf>
    <xf numFmtId="0" fontId="5" fillId="4" borderId="0" xfId="3" applyFont="1" applyFill="1" applyAlignment="1">
      <alignment horizontal="left" vertical="center"/>
    </xf>
    <xf numFmtId="0" fontId="22" fillId="4" borderId="0" xfId="3" applyFont="1" applyFill="1" applyAlignment="1">
      <alignment horizontal="right" vertical="center"/>
    </xf>
    <xf numFmtId="49" fontId="5" fillId="4" borderId="0" xfId="3" applyNumberFormat="1" applyFont="1" applyFill="1" applyAlignment="1">
      <alignment vertical="center"/>
    </xf>
    <xf numFmtId="49" fontId="5" fillId="4" borderId="0" xfId="3" applyNumberFormat="1" applyFont="1" applyFill="1" applyAlignment="1">
      <alignment horizontal="left" vertical="center"/>
    </xf>
    <xf numFmtId="0" fontId="22" fillId="4" borderId="56" xfId="3" applyFont="1" applyFill="1" applyBorder="1" applyAlignment="1">
      <alignment vertical="top"/>
    </xf>
    <xf numFmtId="0" fontId="5" fillId="4" borderId="0" xfId="3" applyFont="1" applyFill="1" applyAlignment="1">
      <alignment horizontal="center" vertical="top"/>
    </xf>
    <xf numFmtId="0" fontId="5" fillId="4" borderId="64" xfId="3" applyFont="1" applyFill="1" applyBorder="1" applyAlignment="1">
      <alignment vertical="top"/>
    </xf>
    <xf numFmtId="0" fontId="5" fillId="4" borderId="65" xfId="3" applyFont="1" applyFill="1" applyBorder="1" applyAlignment="1">
      <alignment vertical="top"/>
    </xf>
    <xf numFmtId="0" fontId="5" fillId="4" borderId="66" xfId="3" applyFont="1" applyFill="1" applyBorder="1" applyAlignment="1">
      <alignment vertical="top"/>
    </xf>
    <xf numFmtId="0" fontId="5" fillId="0" borderId="0" xfId="0" applyFont="1" applyAlignment="1">
      <alignment horizontal="left" vertical="center" wrapText="1"/>
    </xf>
    <xf numFmtId="0" fontId="5" fillId="0" borderId="0" xfId="0" applyFont="1" applyAlignment="1">
      <alignment horizontal="center" vertical="center" wrapText="1"/>
    </xf>
    <xf numFmtId="55" fontId="5" fillId="0" borderId="0" xfId="0" applyNumberFormat="1" applyFont="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wrapText="1"/>
    </xf>
    <xf numFmtId="0" fontId="5" fillId="0" borderId="0" xfId="0" applyFont="1" applyAlignment="1">
      <alignment horizontal="right" vertical="center" wrapText="1"/>
    </xf>
    <xf numFmtId="55" fontId="5" fillId="0" borderId="0" xfId="0" applyNumberFormat="1" applyFont="1" applyAlignment="1">
      <alignment horizontal="center" vertical="center" wrapText="1"/>
    </xf>
    <xf numFmtId="0" fontId="5" fillId="0" borderId="0" xfId="0" applyFont="1" applyAlignment="1">
      <alignment horizontal="center" vertical="center"/>
    </xf>
    <xf numFmtId="0" fontId="26" fillId="0" borderId="0" xfId="5" applyFont="1" applyAlignment="1">
      <alignment horizontal="center" vertical="top"/>
    </xf>
    <xf numFmtId="0" fontId="5" fillId="0" borderId="0" xfId="5" applyFont="1" applyAlignment="1">
      <alignment vertical="center"/>
    </xf>
    <xf numFmtId="41" fontId="5" fillId="0" borderId="1" xfId="0" applyNumberFormat="1" applyFont="1" applyBorder="1" applyAlignment="1">
      <alignment horizontal="center" vertical="center"/>
    </xf>
    <xf numFmtId="14" fontId="5" fillId="0" borderId="1" xfId="5" applyNumberFormat="1" applyFont="1" applyBorder="1" applyAlignment="1">
      <alignment horizontal="center" vertical="center"/>
    </xf>
    <xf numFmtId="0" fontId="5" fillId="0" borderId="1" xfId="5" applyFont="1" applyBorder="1" applyAlignment="1">
      <alignment horizontal="left" vertical="center" wrapText="1"/>
    </xf>
    <xf numFmtId="0" fontId="5" fillId="0" borderId="1" xfId="5" applyFont="1" applyBorder="1" applyAlignment="1">
      <alignment horizontal="center" vertical="center"/>
    </xf>
    <xf numFmtId="0" fontId="5" fillId="0" borderId="1" xfId="5" applyFont="1" applyBorder="1" applyAlignment="1">
      <alignment horizontal="center" vertical="center" wrapText="1"/>
    </xf>
    <xf numFmtId="0" fontId="5" fillId="0" borderId="0" xfId="5" applyFont="1" applyAlignment="1">
      <alignment vertical="top"/>
    </xf>
    <xf numFmtId="0" fontId="5" fillId="0" borderId="0" xfId="5" applyFont="1" applyAlignment="1">
      <alignment horizontal="center" vertical="top"/>
    </xf>
    <xf numFmtId="0" fontId="5" fillId="0" borderId="0" xfId="5" applyFont="1" applyAlignment="1">
      <alignment horizontal="left" vertical="top"/>
    </xf>
    <xf numFmtId="178" fontId="5" fillId="0" borderId="0" xfId="5" applyNumberFormat="1" applyFont="1" applyAlignment="1">
      <alignment horizontal="center" vertical="top"/>
    </xf>
    <xf numFmtId="0" fontId="26" fillId="5" borderId="1" xfId="5" applyFont="1" applyFill="1" applyBorder="1" applyAlignment="1">
      <alignment horizontal="center" vertical="center"/>
    </xf>
    <xf numFmtId="178" fontId="26" fillId="5" borderId="1" xfId="5" applyNumberFormat="1" applyFont="1" applyFill="1" applyBorder="1" applyAlignment="1">
      <alignment horizontal="center" vertical="center"/>
    </xf>
    <xf numFmtId="0" fontId="25" fillId="0" borderId="0" xfId="0" applyFont="1" applyAlignment="1">
      <alignment horizontal="left" vertical="center"/>
    </xf>
    <xf numFmtId="0" fontId="15" fillId="5" borderId="25" xfId="0" applyFont="1" applyFill="1" applyBorder="1" applyAlignment="1">
      <alignment horizontal="center" vertical="center" wrapText="1"/>
    </xf>
    <xf numFmtId="0" fontId="15" fillId="5" borderId="26" xfId="0" applyFont="1" applyFill="1" applyBorder="1" applyAlignment="1">
      <alignment horizontal="center" vertical="center" wrapText="1"/>
    </xf>
    <xf numFmtId="49" fontId="16" fillId="3" borderId="1" xfId="0" applyNumberFormat="1" applyFont="1" applyFill="1" applyBorder="1" applyAlignment="1">
      <alignment horizontal="center" vertical="center" wrapText="1"/>
    </xf>
    <xf numFmtId="49" fontId="16" fillId="0" borderId="12" xfId="0" applyNumberFormat="1" applyFont="1" applyBorder="1" applyAlignment="1">
      <alignment vertical="center" wrapText="1"/>
    </xf>
    <xf numFmtId="0" fontId="16" fillId="0" borderId="0" xfId="0" applyFont="1" applyAlignment="1">
      <alignment horizontal="left" vertical="center"/>
    </xf>
    <xf numFmtId="0" fontId="16" fillId="0" borderId="43" xfId="0" applyFont="1" applyBorder="1" applyAlignment="1">
      <alignment horizontal="left" vertical="center"/>
    </xf>
    <xf numFmtId="0" fontId="9" fillId="0" borderId="43" xfId="0" applyFont="1" applyBorder="1" applyAlignment="1">
      <alignment horizontal="right" vertical="center" wrapText="1"/>
    </xf>
    <xf numFmtId="0" fontId="9" fillId="0" borderId="43"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12" xfId="0" applyFont="1" applyBorder="1" applyAlignment="1">
      <alignment horizontal="right" vertical="center" wrapText="1"/>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15" fillId="5" borderId="77" xfId="0" applyFont="1" applyFill="1" applyBorder="1" applyAlignment="1">
      <alignment horizontal="center" vertical="center" wrapText="1"/>
    </xf>
    <xf numFmtId="0" fontId="15" fillId="5" borderId="78" xfId="0" applyFont="1" applyFill="1" applyBorder="1" applyAlignment="1">
      <alignment horizontal="center" vertical="center" wrapText="1"/>
    </xf>
    <xf numFmtId="0" fontId="15" fillId="0" borderId="67" xfId="0" applyFont="1" applyBorder="1" applyAlignment="1">
      <alignment horizontal="center" vertical="center" wrapText="1"/>
    </xf>
    <xf numFmtId="41" fontId="16" fillId="0" borderId="79" xfId="4" applyFont="1" applyBorder="1" applyAlignment="1">
      <alignment horizontal="center" vertical="center" wrapText="1"/>
    </xf>
    <xf numFmtId="41" fontId="16" fillId="0" borderId="19" xfId="4" applyFont="1" applyBorder="1" applyAlignment="1">
      <alignment horizontal="right" vertical="center"/>
    </xf>
    <xf numFmtId="41" fontId="16" fillId="0" borderId="3" xfId="4" applyFont="1" applyBorder="1" applyAlignment="1">
      <alignment horizontal="right" vertical="center"/>
    </xf>
    <xf numFmtId="179" fontId="15" fillId="6" borderId="80" xfId="1" applyNumberFormat="1" applyFont="1" applyFill="1" applyBorder="1" applyAlignment="1">
      <alignment horizontal="right" vertical="center"/>
    </xf>
    <xf numFmtId="41" fontId="16" fillId="0" borderId="81" xfId="4" applyFont="1" applyBorder="1" applyAlignment="1">
      <alignment horizontal="right" vertical="center"/>
    </xf>
    <xf numFmtId="179" fontId="17" fillId="7" borderId="69" xfId="1" applyNumberFormat="1" applyFont="1" applyFill="1" applyBorder="1" applyAlignment="1">
      <alignment horizontal="center" vertical="center" wrapText="1"/>
    </xf>
    <xf numFmtId="41" fontId="16" fillId="0" borderId="82" xfId="4" applyFont="1" applyBorder="1" applyAlignment="1">
      <alignment horizontal="right" vertical="center"/>
    </xf>
    <xf numFmtId="179" fontId="17" fillId="7" borderId="3" xfId="1" applyNumberFormat="1" applyFont="1" applyFill="1" applyBorder="1" applyAlignment="1">
      <alignment horizontal="center" vertical="center" wrapText="1"/>
    </xf>
    <xf numFmtId="179" fontId="17" fillId="7" borderId="72" xfId="1" applyNumberFormat="1" applyFont="1" applyFill="1" applyBorder="1" applyAlignment="1">
      <alignment horizontal="center" vertical="center" wrapText="1"/>
    </xf>
    <xf numFmtId="41" fontId="16" fillId="0" borderId="83" xfId="4" applyFont="1" applyBorder="1" applyAlignment="1">
      <alignment horizontal="right" vertical="center"/>
    </xf>
    <xf numFmtId="41" fontId="16" fillId="0" borderId="30" xfId="4" applyFont="1" applyBorder="1" applyAlignment="1">
      <alignment horizontal="right" vertical="center"/>
    </xf>
    <xf numFmtId="41" fontId="16" fillId="0" borderId="84" xfId="4" applyFont="1" applyBorder="1" applyAlignment="1">
      <alignment horizontal="center" vertical="center" wrapText="1"/>
    </xf>
    <xf numFmtId="177" fontId="29" fillId="0" borderId="1" xfId="2" applyNumberFormat="1" applyFont="1" applyBorder="1" applyAlignment="1" applyProtection="1">
      <alignment horizontal="center" vertical="center" wrapText="1"/>
      <protection locked="0"/>
    </xf>
    <xf numFmtId="0" fontId="29" fillId="0" borderId="1" xfId="2" applyFont="1" applyBorder="1" applyAlignment="1" applyProtection="1">
      <alignment horizontal="center" vertical="center" wrapText="1"/>
      <protection locked="0"/>
    </xf>
    <xf numFmtId="177" fontId="29" fillId="2" borderId="1" xfId="2" applyNumberFormat="1" applyFont="1" applyFill="1" applyBorder="1" applyAlignment="1" applyProtection="1">
      <alignment horizontal="center" vertical="center" wrapText="1"/>
      <protection locked="0"/>
    </xf>
    <xf numFmtId="0" fontId="29" fillId="2" borderId="1" xfId="2" applyFont="1" applyFill="1" applyBorder="1" applyAlignment="1" applyProtection="1">
      <alignment horizontal="center" vertical="center" wrapText="1"/>
      <protection locked="0"/>
    </xf>
    <xf numFmtId="177" fontId="29" fillId="3" borderId="1" xfId="2" applyNumberFormat="1" applyFont="1" applyFill="1" applyBorder="1" applyAlignment="1" applyProtection="1">
      <alignment horizontal="center" vertical="center" wrapText="1"/>
      <protection locked="0"/>
    </xf>
    <xf numFmtId="0" fontId="29" fillId="3" borderId="1" xfId="2" applyFont="1" applyFill="1" applyBorder="1" applyAlignment="1" applyProtection="1">
      <alignment horizontal="center" vertical="center" wrapText="1"/>
      <protection locked="0"/>
    </xf>
    <xf numFmtId="177" fontId="29" fillId="3" borderId="1" xfId="2" applyNumberFormat="1" applyFont="1" applyFill="1" applyBorder="1" applyAlignment="1" applyProtection="1">
      <alignment horizontal="center" vertical="top" wrapText="1"/>
      <protection locked="0"/>
    </xf>
    <xf numFmtId="0" fontId="29" fillId="3" borderId="1" xfId="2" applyFont="1" applyFill="1" applyBorder="1" applyAlignment="1" applyProtection="1">
      <alignment horizontal="center" vertical="top" wrapText="1"/>
      <protection locked="0"/>
    </xf>
    <xf numFmtId="177" fontId="30" fillId="0" borderId="0" xfId="2" applyNumberFormat="1" applyFont="1" applyAlignment="1" applyProtection="1">
      <alignment vertical="center" wrapText="1"/>
      <protection locked="0"/>
    </xf>
    <xf numFmtId="0" fontId="30" fillId="0" borderId="0" xfId="2" applyFont="1" applyAlignment="1" applyProtection="1">
      <alignment vertical="center" wrapText="1"/>
      <protection locked="0"/>
    </xf>
    <xf numFmtId="0" fontId="31" fillId="0" borderId="1" xfId="2" applyFont="1" applyBorder="1" applyAlignment="1" applyProtection="1">
      <alignment horizontal="center" vertical="center" wrapText="1"/>
      <protection locked="0"/>
    </xf>
    <xf numFmtId="0" fontId="31" fillId="3" borderId="1" xfId="2" applyFont="1" applyFill="1" applyBorder="1" applyAlignment="1" applyProtection="1">
      <alignment horizontal="center" vertical="center" wrapText="1"/>
      <protection locked="0"/>
    </xf>
    <xf numFmtId="0" fontId="31" fillId="2" borderId="1" xfId="2" applyFont="1" applyFill="1" applyBorder="1" applyAlignment="1" applyProtection="1">
      <alignment horizontal="center" vertical="center" wrapText="1"/>
      <protection locked="0"/>
    </xf>
    <xf numFmtId="0" fontId="15" fillId="5" borderId="16"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5" fillId="5" borderId="71" xfId="0" applyFont="1" applyFill="1" applyBorder="1" applyAlignment="1">
      <alignment horizontal="center" vertical="center" wrapText="1"/>
    </xf>
    <xf numFmtId="0" fontId="15" fillId="5" borderId="68" xfId="0" applyFont="1" applyFill="1" applyBorder="1" applyAlignment="1">
      <alignment horizontal="center" vertical="center" wrapText="1"/>
    </xf>
    <xf numFmtId="0" fontId="15" fillId="5" borderId="44" xfId="0" applyFont="1" applyFill="1" applyBorder="1" applyAlignment="1">
      <alignment horizontal="center" vertical="center" wrapText="1"/>
    </xf>
    <xf numFmtId="41" fontId="16" fillId="0" borderId="85" xfId="4" applyFont="1" applyBorder="1" applyAlignment="1">
      <alignment horizontal="right" vertical="center"/>
    </xf>
    <xf numFmtId="41" fontId="16" fillId="0" borderId="86" xfId="4" applyFont="1" applyBorder="1" applyAlignment="1">
      <alignment horizontal="right" vertical="center"/>
    </xf>
    <xf numFmtId="41" fontId="16" fillId="0" borderId="46" xfId="4" applyFont="1" applyBorder="1" applyAlignment="1">
      <alignment horizontal="right" vertical="center"/>
    </xf>
    <xf numFmtId="41" fontId="16" fillId="0" borderId="87" xfId="4" applyFont="1" applyBorder="1" applyAlignment="1">
      <alignment horizontal="right" vertical="center"/>
    </xf>
    <xf numFmtId="179" fontId="15" fillId="6" borderId="5" xfId="1" applyNumberFormat="1" applyFont="1" applyFill="1" applyBorder="1" applyAlignment="1">
      <alignment horizontal="right" vertical="center"/>
    </xf>
    <xf numFmtId="41" fontId="16" fillId="0" borderId="88" xfId="4" applyFont="1" applyBorder="1" applyAlignment="1">
      <alignment horizontal="right" vertical="center"/>
    </xf>
    <xf numFmtId="179" fontId="17" fillId="7" borderId="89" xfId="1" applyNumberFormat="1" applyFont="1" applyFill="1" applyBorder="1" applyAlignment="1">
      <alignment horizontal="center" vertical="center" wrapText="1"/>
    </xf>
    <xf numFmtId="41" fontId="16" fillId="0" borderId="57" xfId="4" applyFont="1" applyBorder="1" applyAlignment="1">
      <alignment horizontal="right" vertical="center"/>
    </xf>
    <xf numFmtId="179" fontId="17" fillId="7" borderId="86" xfId="1" applyNumberFormat="1" applyFont="1" applyFill="1" applyBorder="1" applyAlignment="1">
      <alignment horizontal="center" vertical="center" wrapText="1"/>
    </xf>
    <xf numFmtId="179" fontId="17" fillId="7" borderId="90" xfId="1" applyNumberFormat="1" applyFont="1" applyFill="1" applyBorder="1" applyAlignment="1">
      <alignment horizontal="center" vertical="center" wrapText="1"/>
    </xf>
    <xf numFmtId="41" fontId="16" fillId="0" borderId="58" xfId="4" applyFont="1" applyBorder="1" applyAlignment="1">
      <alignment horizontal="center" vertical="center" wrapText="1"/>
    </xf>
    <xf numFmtId="41" fontId="16" fillId="0" borderId="63" xfId="4" applyFont="1" applyBorder="1" applyAlignment="1">
      <alignment horizontal="center" vertical="center" wrapText="1"/>
    </xf>
    <xf numFmtId="0" fontId="15" fillId="5" borderId="95" xfId="0" applyFont="1" applyFill="1" applyBorder="1" applyAlignment="1">
      <alignment horizontal="center" vertical="center" wrapText="1"/>
    </xf>
    <xf numFmtId="41" fontId="16" fillId="0" borderId="1" xfId="4" applyFont="1" applyBorder="1" applyAlignment="1">
      <alignment horizontal="right" vertical="center"/>
    </xf>
    <xf numFmtId="41" fontId="16" fillId="0" borderId="7" xfId="4" applyFont="1" applyBorder="1" applyAlignment="1">
      <alignment horizontal="right" vertical="center"/>
    </xf>
    <xf numFmtId="41" fontId="16" fillId="0" borderId="96" xfId="4" applyFont="1" applyBorder="1" applyAlignment="1">
      <alignment horizontal="right" vertical="center"/>
    </xf>
    <xf numFmtId="179" fontId="15" fillId="6" borderId="18" xfId="1" applyNumberFormat="1" applyFont="1" applyFill="1" applyBorder="1" applyAlignment="1">
      <alignment horizontal="right" vertical="center"/>
    </xf>
    <xf numFmtId="41" fontId="16" fillId="0" borderId="97" xfId="4" applyFont="1" applyBorder="1" applyAlignment="1">
      <alignment horizontal="right" vertical="center"/>
    </xf>
    <xf numFmtId="179" fontId="17" fillId="7" borderId="98" xfId="1" applyNumberFormat="1" applyFont="1" applyFill="1" applyBorder="1" applyAlignment="1">
      <alignment horizontal="center" vertical="center" wrapText="1"/>
    </xf>
    <xf numFmtId="41" fontId="16" fillId="0" borderId="6" xfId="4" applyFont="1" applyBorder="1" applyAlignment="1">
      <alignment horizontal="right" vertical="center"/>
    </xf>
    <xf numFmtId="179" fontId="17" fillId="7" borderId="1" xfId="1" applyNumberFormat="1" applyFont="1" applyFill="1" applyBorder="1" applyAlignment="1">
      <alignment horizontal="center" vertical="center" wrapText="1"/>
    </xf>
    <xf numFmtId="179" fontId="17" fillId="7" borderId="99" xfId="1" applyNumberFormat="1" applyFont="1" applyFill="1" applyBorder="1" applyAlignment="1">
      <alignment horizontal="center" vertical="center" wrapText="1"/>
    </xf>
    <xf numFmtId="41" fontId="16" fillId="0" borderId="100" xfId="4" applyFont="1" applyBorder="1" applyAlignment="1">
      <alignment horizontal="right" vertical="center"/>
    </xf>
    <xf numFmtId="41" fontId="16" fillId="0" borderId="2" xfId="4" applyFont="1" applyBorder="1" applyAlignment="1">
      <alignment horizontal="right" vertical="center"/>
    </xf>
    <xf numFmtId="41" fontId="16" fillId="0" borderId="61" xfId="4" applyFont="1" applyBorder="1" applyAlignment="1">
      <alignment horizontal="right" vertical="center"/>
    </xf>
    <xf numFmtId="179" fontId="15" fillId="6" borderId="103" xfId="1" applyNumberFormat="1" applyFont="1" applyFill="1" applyBorder="1" applyAlignment="1">
      <alignment horizontal="right" vertical="center"/>
    </xf>
    <xf numFmtId="9" fontId="16" fillId="0" borderId="0" xfId="1" applyFont="1" applyBorder="1" applyAlignment="1">
      <alignment horizontal="center" vertical="center" wrapText="1"/>
    </xf>
    <xf numFmtId="41" fontId="15" fillId="0" borderId="104" xfId="4" applyFont="1" applyBorder="1" applyAlignment="1">
      <alignment horizontal="right" vertical="center"/>
    </xf>
    <xf numFmtId="179" fontId="17" fillId="7" borderId="105" xfId="1" applyNumberFormat="1" applyFont="1" applyFill="1" applyBorder="1" applyAlignment="1">
      <alignment horizontal="center" vertical="center" wrapText="1"/>
    </xf>
    <xf numFmtId="0" fontId="15" fillId="11" borderId="16" xfId="0" applyFont="1" applyFill="1" applyBorder="1" applyAlignment="1">
      <alignment horizontal="center" vertical="center" wrapText="1"/>
    </xf>
    <xf numFmtId="0" fontId="15" fillId="11" borderId="78" xfId="0" applyFont="1" applyFill="1" applyBorder="1" applyAlignment="1">
      <alignment horizontal="center" vertical="center" wrapText="1"/>
    </xf>
    <xf numFmtId="49" fontId="31" fillId="0" borderId="1" xfId="0" quotePrefix="1" applyNumberFormat="1" applyFont="1" applyBorder="1" applyAlignment="1" applyProtection="1">
      <alignment horizontal="left" vertical="top" wrapText="1"/>
      <protection locked="0"/>
    </xf>
    <xf numFmtId="49" fontId="31" fillId="2" borderId="1" xfId="0" applyNumberFormat="1" applyFont="1" applyFill="1" applyBorder="1" applyAlignment="1" applyProtection="1">
      <alignment horizontal="left" vertical="top" wrapText="1"/>
      <protection locked="0"/>
    </xf>
    <xf numFmtId="49" fontId="31" fillId="3" borderId="1" xfId="0" quotePrefix="1" applyNumberFormat="1" applyFont="1" applyFill="1" applyBorder="1" applyAlignment="1" applyProtection="1">
      <alignment horizontal="left" vertical="top" wrapText="1"/>
      <protection locked="0"/>
    </xf>
    <xf numFmtId="0" fontId="31" fillId="4" borderId="1" xfId="3" applyFont="1" applyFill="1" applyBorder="1" applyAlignment="1">
      <alignment vertical="center" wrapText="1"/>
    </xf>
    <xf numFmtId="0" fontId="31" fillId="3" borderId="1" xfId="3" applyFont="1" applyFill="1" applyBorder="1" applyAlignment="1">
      <alignment vertical="center" wrapText="1"/>
    </xf>
    <xf numFmtId="49" fontId="31" fillId="3" borderId="1" xfId="0" quotePrefix="1" applyNumberFormat="1" applyFont="1" applyFill="1" applyBorder="1" applyAlignment="1" applyProtection="1">
      <alignment horizontal="left" vertical="center" wrapText="1"/>
      <protection locked="0"/>
    </xf>
    <xf numFmtId="0" fontId="33" fillId="0" borderId="0" xfId="0" applyFont="1" applyProtection="1">
      <alignment vertical="center"/>
      <protection locked="0"/>
    </xf>
    <xf numFmtId="0" fontId="34" fillId="0" borderId="0" xfId="0" applyFont="1" applyAlignment="1" applyProtection="1">
      <alignment vertical="top" wrapText="1"/>
      <protection locked="0"/>
    </xf>
    <xf numFmtId="0" fontId="35" fillId="0" borderId="0" xfId="0" applyFont="1" applyAlignment="1" applyProtection="1">
      <alignment vertical="top" wrapText="1"/>
      <protection locked="0"/>
    </xf>
    <xf numFmtId="176" fontId="30" fillId="0" borderId="0" xfId="2" applyNumberFormat="1" applyFont="1" applyAlignment="1" applyProtection="1">
      <alignment horizontal="center" vertical="top" wrapText="1"/>
      <protection locked="0"/>
    </xf>
    <xf numFmtId="0" fontId="30" fillId="0" borderId="0" xfId="2" applyFont="1" applyAlignment="1" applyProtection="1">
      <alignment vertical="top" wrapText="1"/>
      <protection locked="0"/>
    </xf>
    <xf numFmtId="49" fontId="36" fillId="0" borderId="0" xfId="2" applyNumberFormat="1" applyFont="1" applyAlignment="1" applyProtection="1">
      <alignment horizontal="left" wrapText="1"/>
      <protection locked="0"/>
    </xf>
    <xf numFmtId="0" fontId="37" fillId="0" borderId="0" xfId="2" applyFont="1" applyAlignment="1" applyProtection="1">
      <alignment vertical="top" wrapText="1"/>
      <protection locked="0"/>
    </xf>
    <xf numFmtId="0" fontId="37" fillId="0" borderId="48" xfId="0" applyFont="1" applyBorder="1" applyAlignment="1">
      <alignment horizontal="center" vertical="center"/>
    </xf>
    <xf numFmtId="0" fontId="39" fillId="0" borderId="0" xfId="0" applyFont="1">
      <alignment vertical="center"/>
    </xf>
    <xf numFmtId="177" fontId="38" fillId="5" borderId="1" xfId="2" applyNumberFormat="1" applyFont="1" applyFill="1" applyBorder="1" applyAlignment="1" applyProtection="1">
      <alignment horizontal="center" vertical="center" wrapText="1"/>
      <protection locked="0"/>
    </xf>
    <xf numFmtId="0" fontId="38" fillId="5" borderId="1" xfId="2" applyFont="1" applyFill="1" applyBorder="1" applyAlignment="1" applyProtection="1">
      <alignment horizontal="center" vertical="center" wrapText="1"/>
      <protection locked="0"/>
    </xf>
    <xf numFmtId="0" fontId="40" fillId="0" borderId="0" xfId="0" applyFont="1">
      <alignment vertical="center"/>
    </xf>
    <xf numFmtId="0" fontId="32" fillId="2" borderId="1" xfId="0" applyFont="1" applyFill="1" applyBorder="1" applyAlignment="1">
      <alignment horizontal="center" vertical="center"/>
    </xf>
    <xf numFmtId="0" fontId="41" fillId="2" borderId="1" xfId="0" applyFont="1" applyFill="1" applyBorder="1" applyAlignment="1">
      <alignment vertical="center" readingOrder="1"/>
    </xf>
    <xf numFmtId="0" fontId="40" fillId="2" borderId="1" xfId="0" applyFont="1" applyFill="1" applyBorder="1" applyAlignment="1">
      <alignment horizontal="left" vertical="center"/>
    </xf>
    <xf numFmtId="0" fontId="40" fillId="2" borderId="1" xfId="0" applyFont="1" applyFill="1" applyBorder="1" applyAlignment="1">
      <alignment horizontal="center" vertical="center"/>
    </xf>
    <xf numFmtId="0" fontId="40" fillId="0" borderId="48" xfId="0" applyFont="1" applyBorder="1" applyAlignment="1">
      <alignment horizontal="center" vertical="center"/>
    </xf>
    <xf numFmtId="0" fontId="40" fillId="0" borderId="0" xfId="0" applyFont="1" applyAlignment="1">
      <alignment horizontal="center" vertical="center"/>
    </xf>
    <xf numFmtId="0" fontId="32" fillId="2" borderId="1" xfId="0" applyFont="1" applyFill="1" applyBorder="1" applyAlignment="1">
      <alignment horizontal="left" vertical="center"/>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40" fillId="0" borderId="1" xfId="0" applyFont="1" applyBorder="1" applyAlignment="1">
      <alignment horizontal="center" vertical="center"/>
    </xf>
    <xf numFmtId="0" fontId="32" fillId="0" borderId="1" xfId="0" applyFont="1" applyBorder="1" applyAlignment="1">
      <alignment horizontal="center" vertical="center"/>
    </xf>
    <xf numFmtId="0" fontId="32" fillId="0" borderId="48" xfId="0" applyFont="1" applyBorder="1" applyAlignment="1">
      <alignment horizontal="center" vertical="center"/>
    </xf>
    <xf numFmtId="0" fontId="41" fillId="2" borderId="1" xfId="0" applyFont="1" applyFill="1" applyBorder="1" applyAlignment="1">
      <alignment horizontal="left" vertical="center" readingOrder="1"/>
    </xf>
    <xf numFmtId="0" fontId="42" fillId="0" borderId="1" xfId="0" applyFont="1" applyBorder="1" applyAlignment="1">
      <alignment horizontal="justify" vertical="center" readingOrder="1"/>
    </xf>
    <xf numFmtId="0" fontId="32" fillId="0" borderId="1" xfId="0" applyFont="1" applyBorder="1" applyAlignment="1">
      <alignment horizontal="left" vertical="center"/>
    </xf>
    <xf numFmtId="0" fontId="32" fillId="2" borderId="1" xfId="0" applyFont="1" applyFill="1" applyBorder="1">
      <alignment vertical="center"/>
    </xf>
    <xf numFmtId="0" fontId="32" fillId="0" borderId="48" xfId="0" applyFont="1" applyBorder="1">
      <alignment vertical="center"/>
    </xf>
    <xf numFmtId="0" fontId="32" fillId="0" borderId="1" xfId="0" applyFont="1" applyBorder="1" applyAlignment="1">
      <alignment horizontal="left" vertical="top" wrapText="1"/>
    </xf>
    <xf numFmtId="0" fontId="32" fillId="0" borderId="0" xfId="0" applyFont="1" applyAlignment="1">
      <alignment horizontal="center" vertical="center"/>
    </xf>
    <xf numFmtId="0" fontId="40" fillId="0" borderId="0" xfId="0" applyFont="1" applyAlignment="1">
      <alignment horizontal="left" vertical="center"/>
    </xf>
    <xf numFmtId="0" fontId="32" fillId="2" borderId="1" xfId="0" applyFont="1" applyFill="1" applyBorder="1" applyAlignment="1">
      <alignment horizontal="left" vertical="top"/>
    </xf>
    <xf numFmtId="0" fontId="44" fillId="0" borderId="0" xfId="2" applyFont="1" applyAlignment="1" applyProtection="1">
      <alignment horizontal="center" vertical="top" wrapText="1"/>
      <protection locked="0"/>
    </xf>
    <xf numFmtId="183" fontId="44" fillId="0" borderId="0" xfId="2" applyNumberFormat="1" applyFont="1" applyAlignment="1" applyProtection="1">
      <alignment horizontal="center" vertical="top" wrapText="1"/>
      <protection locked="0"/>
    </xf>
    <xf numFmtId="0" fontId="45" fillId="0" borderId="0" xfId="2" applyFont="1" applyAlignment="1" applyProtection="1">
      <alignment horizontal="left" vertical="top" wrapText="1"/>
      <protection locked="0"/>
    </xf>
    <xf numFmtId="0" fontId="45" fillId="0" borderId="0" xfId="2" applyFont="1" applyAlignment="1" applyProtection="1">
      <alignment horizontal="center" vertical="top" wrapText="1"/>
      <protection locked="0"/>
    </xf>
    <xf numFmtId="49" fontId="31" fillId="0" borderId="0" xfId="2" applyNumberFormat="1" applyFont="1" applyAlignment="1" applyProtection="1">
      <alignment vertical="top" wrapText="1"/>
      <protection locked="0"/>
    </xf>
    <xf numFmtId="49" fontId="29" fillId="0" borderId="0" xfId="2" applyNumberFormat="1" applyFont="1" applyAlignment="1" applyProtection="1">
      <alignment horizontal="center" vertical="center" wrapText="1"/>
      <protection locked="0"/>
    </xf>
    <xf numFmtId="0" fontId="31" fillId="0" borderId="0" xfId="2" applyFont="1" applyAlignment="1" applyProtection="1">
      <alignment vertical="center" wrapText="1"/>
      <protection locked="0"/>
    </xf>
    <xf numFmtId="0" fontId="31" fillId="0" borderId="0" xfId="2" applyFont="1" applyAlignment="1" applyProtection="1">
      <alignment horizontal="left" vertical="center" wrapText="1"/>
      <protection locked="0"/>
    </xf>
    <xf numFmtId="0" fontId="33" fillId="0" borderId="0" xfId="2" applyFont="1" applyAlignment="1" applyProtection="1">
      <alignment vertical="center"/>
      <protection locked="0"/>
    </xf>
    <xf numFmtId="183" fontId="35" fillId="0" borderId="0" xfId="0" applyNumberFormat="1" applyFont="1" applyAlignment="1" applyProtection="1">
      <alignment vertical="top" wrapText="1"/>
      <protection locked="0"/>
    </xf>
    <xf numFmtId="0" fontId="38" fillId="0" borderId="0" xfId="0" applyFont="1" applyAlignment="1" applyProtection="1">
      <alignment vertical="center" wrapText="1"/>
      <protection locked="0"/>
    </xf>
    <xf numFmtId="0" fontId="38" fillId="0" borderId="0" xfId="0" applyFont="1" applyAlignment="1" applyProtection="1">
      <alignment vertical="top" wrapText="1"/>
      <protection locked="0"/>
    </xf>
    <xf numFmtId="0" fontId="38" fillId="0" borderId="0" xfId="0" applyFont="1" applyAlignment="1" applyProtection="1">
      <alignment horizontal="center" vertical="top" wrapText="1"/>
      <protection locked="0"/>
    </xf>
    <xf numFmtId="0" fontId="46" fillId="0" borderId="0" xfId="0" applyFont="1" applyAlignment="1" applyProtection="1">
      <alignment horizontal="center" vertical="center" wrapText="1"/>
      <protection locked="0"/>
    </xf>
    <xf numFmtId="0" fontId="38" fillId="0" borderId="0" xfId="2" applyFont="1" applyAlignment="1" applyProtection="1">
      <alignment vertical="center" wrapText="1"/>
      <protection locked="0"/>
    </xf>
    <xf numFmtId="0" fontId="38" fillId="0" borderId="0" xfId="2" applyFont="1" applyAlignment="1" applyProtection="1">
      <alignment horizontal="center" vertical="center" wrapText="1"/>
      <protection locked="0"/>
    </xf>
    <xf numFmtId="49" fontId="38" fillId="5" borderId="1" xfId="2" applyNumberFormat="1" applyFont="1" applyFill="1" applyBorder="1" applyAlignment="1" applyProtection="1">
      <alignment horizontal="left" vertical="center" wrapText="1"/>
      <protection locked="0"/>
    </xf>
    <xf numFmtId="49" fontId="38" fillId="5" borderId="1" xfId="2" applyNumberFormat="1" applyFont="1" applyFill="1" applyBorder="1" applyAlignment="1" applyProtection="1">
      <alignment horizontal="center" vertical="center" wrapText="1"/>
      <protection locked="0"/>
    </xf>
    <xf numFmtId="0" fontId="31" fillId="0" borderId="0" xfId="2" applyFont="1" applyAlignment="1" applyProtection="1">
      <alignment horizontal="center" vertical="top" wrapText="1"/>
      <protection locked="0"/>
    </xf>
    <xf numFmtId="49" fontId="31" fillId="0" borderId="1" xfId="0" applyNumberFormat="1" applyFont="1" applyBorder="1" applyAlignment="1" applyProtection="1">
      <alignment horizontal="left" vertical="top" wrapText="1"/>
      <protection locked="0"/>
    </xf>
    <xf numFmtId="0" fontId="31" fillId="2" borderId="1" xfId="2" applyFont="1" applyFill="1" applyBorder="1" applyAlignment="1" applyProtection="1">
      <alignment horizontal="left" vertical="center" wrapText="1"/>
      <protection locked="0"/>
    </xf>
    <xf numFmtId="0" fontId="31" fillId="3" borderId="1" xfId="2" applyFont="1" applyFill="1" applyBorder="1" applyAlignment="1" applyProtection="1">
      <alignment horizontal="left" vertical="center" wrapText="1"/>
      <protection locked="0"/>
    </xf>
    <xf numFmtId="49" fontId="31" fillId="3" borderId="1" xfId="0" applyNumberFormat="1" applyFont="1" applyFill="1" applyBorder="1" applyAlignment="1" applyProtection="1">
      <alignment horizontal="left" vertical="top" wrapText="1"/>
      <protection locked="0"/>
    </xf>
    <xf numFmtId="0" fontId="31" fillId="0" borderId="0" xfId="2" applyFont="1" applyAlignment="1" applyProtection="1">
      <alignment vertical="top" wrapText="1"/>
      <protection locked="0"/>
    </xf>
    <xf numFmtId="49" fontId="31" fillId="0" borderId="1" xfId="0" applyNumberFormat="1" applyFont="1" applyBorder="1" applyAlignment="1" applyProtection="1">
      <alignment horizontal="center" vertical="center" wrapText="1"/>
      <protection locked="0"/>
    </xf>
    <xf numFmtId="49" fontId="31" fillId="2" borderId="1" xfId="0" applyNumberFormat="1" applyFont="1" applyFill="1" applyBorder="1" applyAlignment="1" applyProtection="1">
      <alignment horizontal="center" vertical="center" wrapText="1"/>
      <protection locked="0"/>
    </xf>
    <xf numFmtId="49" fontId="31" fillId="3" borderId="1" xfId="0" applyNumberFormat="1" applyFont="1" applyFill="1" applyBorder="1" applyAlignment="1" applyProtection="1">
      <alignment horizontal="center" vertical="center" wrapText="1"/>
      <protection locked="0"/>
    </xf>
    <xf numFmtId="183" fontId="45" fillId="0" borderId="0" xfId="2" applyNumberFormat="1" applyFont="1" applyAlignment="1" applyProtection="1">
      <alignment horizontal="center" vertical="top" wrapText="1"/>
      <protection locked="0"/>
    </xf>
    <xf numFmtId="49" fontId="31" fillId="0" borderId="0" xfId="2" applyNumberFormat="1" applyFont="1" applyAlignment="1" applyProtection="1">
      <alignment horizontal="center" vertical="center" wrapText="1"/>
      <protection locked="0"/>
    </xf>
    <xf numFmtId="177" fontId="49" fillId="2" borderId="1" xfId="2" applyNumberFormat="1" applyFont="1" applyFill="1" applyBorder="1" applyAlignment="1" applyProtection="1">
      <alignment horizontal="center" vertical="center" wrapText="1"/>
      <protection locked="0"/>
    </xf>
    <xf numFmtId="0" fontId="49" fillId="2" borderId="1" xfId="2" applyFont="1" applyFill="1" applyBorder="1" applyAlignment="1" applyProtection="1">
      <alignment horizontal="center" vertical="center" wrapText="1"/>
      <protection locked="0"/>
    </xf>
    <xf numFmtId="177" fontId="49" fillId="3" borderId="1" xfId="2" applyNumberFormat="1" applyFont="1" applyFill="1" applyBorder="1" applyAlignment="1" applyProtection="1">
      <alignment horizontal="center" vertical="center" wrapText="1"/>
      <protection locked="0"/>
    </xf>
    <xf numFmtId="0" fontId="49" fillId="3" borderId="1" xfId="2" applyFont="1" applyFill="1" applyBorder="1" applyAlignment="1" applyProtection="1">
      <alignment horizontal="center" vertical="center" wrapText="1"/>
      <protection locked="0"/>
    </xf>
    <xf numFmtId="0" fontId="9" fillId="3" borderId="1" xfId="2" applyFont="1" applyFill="1" applyBorder="1" applyAlignment="1" applyProtection="1">
      <alignment horizontal="center" vertical="center" wrapText="1"/>
      <protection locked="0"/>
    </xf>
    <xf numFmtId="49" fontId="49" fillId="2" borderId="1" xfId="0" applyNumberFormat="1" applyFont="1" applyFill="1" applyBorder="1" applyAlignment="1" applyProtection="1">
      <alignment horizontal="left" vertical="top" wrapText="1"/>
      <protection locked="0"/>
    </xf>
    <xf numFmtId="0" fontId="50" fillId="3" borderId="1" xfId="3" applyFont="1" applyFill="1" applyBorder="1" applyAlignment="1">
      <alignment vertical="center" wrapText="1"/>
    </xf>
    <xf numFmtId="49" fontId="49" fillId="3" borderId="1" xfId="0" quotePrefix="1" applyNumberFormat="1" applyFont="1" applyFill="1" applyBorder="1" applyAlignment="1" applyProtection="1">
      <alignment horizontal="left" vertical="top" wrapText="1"/>
      <protection locked="0"/>
    </xf>
    <xf numFmtId="0" fontId="31" fillId="2" borderId="1" xfId="2" applyFont="1" applyFill="1" applyBorder="1" applyAlignment="1">
      <alignment horizontal="center" vertical="center" wrapText="1"/>
    </xf>
    <xf numFmtId="183" fontId="31" fillId="2" borderId="1" xfId="2" applyNumberFormat="1" applyFont="1" applyFill="1" applyBorder="1" applyAlignment="1">
      <alignment horizontal="center" vertical="center" wrapText="1"/>
    </xf>
    <xf numFmtId="0" fontId="31" fillId="0" borderId="1" xfId="0" applyFont="1" applyBorder="1" applyAlignment="1" applyProtection="1">
      <alignment horizontal="center" vertical="center" wrapText="1"/>
      <protection locked="0"/>
    </xf>
    <xf numFmtId="0" fontId="31" fillId="3" borderId="1" xfId="0" applyFont="1" applyFill="1" applyBorder="1" applyAlignment="1" applyProtection="1">
      <alignment horizontal="center" vertical="center" wrapText="1"/>
      <protection locked="0"/>
    </xf>
    <xf numFmtId="0" fontId="32" fillId="0" borderId="7" xfId="0" applyFont="1" applyBorder="1" applyAlignment="1">
      <alignment horizontal="center" vertical="center" wrapText="1"/>
    </xf>
    <xf numFmtId="0" fontId="32" fillId="3" borderId="1" xfId="0" applyFont="1" applyFill="1" applyBorder="1" applyAlignment="1">
      <alignment horizontal="center" vertical="center" wrapText="1"/>
    </xf>
    <xf numFmtId="0" fontId="32" fillId="3" borderId="1" xfId="0" applyFont="1" applyFill="1" applyBorder="1" applyAlignment="1">
      <alignment horizontal="center" vertical="center"/>
    </xf>
    <xf numFmtId="0" fontId="38" fillId="2" borderId="1" xfId="0" applyFont="1" applyFill="1" applyBorder="1" applyAlignment="1" applyProtection="1">
      <alignment horizontal="center" vertical="center" wrapText="1"/>
      <protection locked="0"/>
    </xf>
    <xf numFmtId="0" fontId="38" fillId="2" borderId="1" xfId="0" applyFont="1" applyFill="1" applyBorder="1" applyAlignment="1" applyProtection="1">
      <alignment horizontal="left" vertical="top" wrapText="1"/>
      <protection locked="0"/>
    </xf>
    <xf numFmtId="49" fontId="38" fillId="2" borderId="1" xfId="0" applyNumberFormat="1" applyFont="1" applyFill="1" applyBorder="1" applyAlignment="1" applyProtection="1">
      <alignment horizontal="left" vertical="center" wrapText="1"/>
      <protection locked="0"/>
    </xf>
    <xf numFmtId="0" fontId="32" fillId="3" borderId="7" xfId="0" applyFont="1" applyFill="1" applyBorder="1" applyAlignment="1">
      <alignment horizontal="center" vertical="center" wrapText="1"/>
    </xf>
    <xf numFmtId="0" fontId="31" fillId="12" borderId="1" xfId="0" applyFont="1" applyFill="1" applyBorder="1" applyAlignment="1" applyProtection="1">
      <alignment horizontal="center" vertical="center" wrapText="1"/>
      <protection locked="0"/>
    </xf>
    <xf numFmtId="0" fontId="32" fillId="12" borderId="1" xfId="0" applyFont="1" applyFill="1" applyBorder="1" applyAlignment="1">
      <alignment horizontal="center" vertical="center"/>
    </xf>
    <xf numFmtId="49" fontId="31" fillId="12" borderId="1" xfId="0" applyNumberFormat="1" applyFont="1" applyFill="1" applyBorder="1" applyAlignment="1" applyProtection="1">
      <alignment horizontal="left" vertical="top" wrapText="1"/>
      <protection locked="0"/>
    </xf>
    <xf numFmtId="49" fontId="31" fillId="12" borderId="1" xfId="0" applyNumberFormat="1" applyFont="1" applyFill="1" applyBorder="1" applyAlignment="1" applyProtection="1">
      <alignment horizontal="center" vertical="center" wrapText="1"/>
      <protection locked="0"/>
    </xf>
    <xf numFmtId="0" fontId="31" fillId="12" borderId="1" xfId="2" applyFont="1" applyFill="1" applyBorder="1" applyAlignment="1" applyProtection="1">
      <alignment horizontal="center" vertical="center" wrapText="1"/>
      <protection locked="0"/>
    </xf>
    <xf numFmtId="49" fontId="31" fillId="12" borderId="1" xfId="0" quotePrefix="1" applyNumberFormat="1" applyFont="1" applyFill="1" applyBorder="1" applyAlignment="1" applyProtection="1">
      <alignment horizontal="left" vertical="top" wrapText="1"/>
      <protection locked="0"/>
    </xf>
    <xf numFmtId="0" fontId="50" fillId="12" borderId="1" xfId="3" applyFont="1" applyFill="1" applyBorder="1" applyAlignment="1">
      <alignment vertical="center" wrapText="1"/>
    </xf>
    <xf numFmtId="0" fontId="31" fillId="12" borderId="1" xfId="2" applyFont="1" applyFill="1" applyBorder="1" applyAlignment="1" applyProtection="1">
      <alignment horizontal="left" vertical="center" wrapText="1"/>
      <protection locked="0"/>
    </xf>
    <xf numFmtId="177" fontId="31" fillId="3" borderId="1" xfId="2" applyNumberFormat="1" applyFont="1" applyFill="1" applyBorder="1" applyAlignment="1" applyProtection="1">
      <alignment horizontal="center" vertical="center" wrapText="1"/>
      <protection locked="0"/>
    </xf>
    <xf numFmtId="0" fontId="32" fillId="12" borderId="1" xfId="0" applyFont="1" applyFill="1" applyBorder="1" applyAlignment="1">
      <alignment horizontal="center" vertical="center" wrapText="1"/>
    </xf>
    <xf numFmtId="0" fontId="31" fillId="12" borderId="1" xfId="3" applyFont="1" applyFill="1" applyBorder="1" applyAlignment="1">
      <alignment vertical="center" wrapText="1"/>
    </xf>
    <xf numFmtId="0" fontId="31" fillId="2" borderId="1" xfId="0" applyFont="1" applyFill="1" applyBorder="1" applyAlignment="1" applyProtection="1">
      <alignment horizontal="center" vertical="center" wrapText="1"/>
      <protection locked="0"/>
    </xf>
    <xf numFmtId="0" fontId="15" fillId="11" borderId="77" xfId="0" applyFont="1" applyFill="1" applyBorder="1" applyAlignment="1">
      <alignment horizontal="center" vertical="center" wrapText="1"/>
    </xf>
    <xf numFmtId="0" fontId="52" fillId="3" borderId="1" xfId="0" applyFont="1" applyFill="1" applyBorder="1" applyAlignment="1">
      <alignment horizontal="left" vertical="center" wrapText="1" readingOrder="1"/>
    </xf>
    <xf numFmtId="0" fontId="32" fillId="3" borderId="1" xfId="0" applyFont="1" applyFill="1" applyBorder="1" applyAlignment="1">
      <alignment horizontal="left" vertical="top" wrapText="1"/>
    </xf>
    <xf numFmtId="0" fontId="32" fillId="3" borderId="1" xfId="0" applyFont="1" applyFill="1" applyBorder="1" applyAlignment="1">
      <alignment horizontal="center" vertical="top" wrapText="1"/>
    </xf>
    <xf numFmtId="0" fontId="40" fillId="3" borderId="1" xfId="0" applyFont="1" applyFill="1" applyBorder="1" applyAlignment="1">
      <alignment horizontal="center" vertical="top"/>
    </xf>
    <xf numFmtId="0" fontId="32" fillId="3" borderId="1" xfId="0" applyFont="1" applyFill="1" applyBorder="1" applyAlignment="1">
      <alignment horizontal="center" vertical="top"/>
    </xf>
    <xf numFmtId="0" fontId="32" fillId="3" borderId="48" xfId="0" applyFont="1" applyFill="1" applyBorder="1" applyAlignment="1">
      <alignment horizontal="center" vertical="center"/>
    </xf>
    <xf numFmtId="0" fontId="40" fillId="3" borderId="1" xfId="0" applyFont="1" applyFill="1" applyBorder="1" applyAlignment="1">
      <alignment horizontal="center" vertical="center"/>
    </xf>
    <xf numFmtId="0" fontId="32" fillId="3" borderId="1" xfId="0" applyFont="1" applyFill="1" applyBorder="1" applyAlignment="1">
      <alignment vertical="center" wrapText="1"/>
    </xf>
    <xf numFmtId="0" fontId="9" fillId="3" borderId="1" xfId="0" applyFont="1" applyFill="1" applyBorder="1" applyAlignment="1">
      <alignment horizontal="left" vertical="center" wrapText="1" readingOrder="1"/>
    </xf>
    <xf numFmtId="0" fontId="32" fillId="3" borderId="1" xfId="0" applyFont="1" applyFill="1" applyBorder="1" applyAlignment="1">
      <alignment horizontal="left" vertical="center" wrapText="1"/>
    </xf>
    <xf numFmtId="0" fontId="42" fillId="3" borderId="1" xfId="0" applyFont="1" applyFill="1" applyBorder="1" applyAlignment="1">
      <alignment vertical="center" readingOrder="1"/>
    </xf>
    <xf numFmtId="0" fontId="42" fillId="3" borderId="1" xfId="0" applyFont="1" applyFill="1" applyBorder="1" applyAlignment="1">
      <alignment horizontal="justify" vertical="center" readingOrder="1"/>
    </xf>
    <xf numFmtId="0" fontId="32" fillId="3" borderId="1" xfId="0" applyFont="1" applyFill="1" applyBorder="1" applyAlignment="1">
      <alignment horizontal="left" vertical="center"/>
    </xf>
    <xf numFmtId="0" fontId="42" fillId="3" borderId="1" xfId="0" applyFont="1" applyFill="1" applyBorder="1" applyAlignment="1">
      <alignment vertical="top" wrapText="1"/>
    </xf>
    <xf numFmtId="0" fontId="42" fillId="3" borderId="1" xfId="0" applyFont="1" applyFill="1" applyBorder="1" applyAlignment="1">
      <alignment horizontal="justify" vertical="top" readingOrder="1"/>
    </xf>
    <xf numFmtId="0" fontId="32" fillId="3" borderId="48" xfId="0" applyFont="1" applyFill="1" applyBorder="1">
      <alignment vertical="center"/>
    </xf>
    <xf numFmtId="0" fontId="42" fillId="3" borderId="1" xfId="0" applyFont="1" applyFill="1" applyBorder="1" applyAlignment="1">
      <alignment horizontal="justify" vertical="top" wrapText="1" readingOrder="1"/>
    </xf>
    <xf numFmtId="177" fontId="31" fillId="3" borderId="6" xfId="2" applyNumberFormat="1" applyFont="1" applyFill="1" applyBorder="1" applyAlignment="1" applyProtection="1">
      <alignment horizontal="center" vertical="center" wrapText="1"/>
      <protection locked="0"/>
    </xf>
    <xf numFmtId="0" fontId="49" fillId="2" borderId="6" xfId="2" applyFont="1" applyFill="1" applyBorder="1" applyAlignment="1" applyProtection="1">
      <alignment horizontal="center" vertical="center" wrapText="1"/>
      <protection locked="0"/>
    </xf>
    <xf numFmtId="177" fontId="31" fillId="0" borderId="6" xfId="2" applyNumberFormat="1" applyFont="1" applyBorder="1" applyAlignment="1" applyProtection="1">
      <alignment horizontal="center" vertical="center" wrapText="1"/>
      <protection locked="0"/>
    </xf>
    <xf numFmtId="177" fontId="49" fillId="3" borderId="6" xfId="2" applyNumberFormat="1" applyFont="1" applyFill="1" applyBorder="1" applyAlignment="1" applyProtection="1">
      <alignment horizontal="center" vertical="center" wrapText="1"/>
      <protection locked="0"/>
    </xf>
    <xf numFmtId="177" fontId="31" fillId="12" borderId="6" xfId="2" applyNumberFormat="1" applyFont="1" applyFill="1" applyBorder="1" applyAlignment="1" applyProtection="1">
      <alignment horizontal="center" vertical="center" wrapText="1"/>
      <protection locked="0"/>
    </xf>
    <xf numFmtId="177" fontId="49" fillId="12" borderId="6" xfId="2" applyNumberFormat="1" applyFont="1" applyFill="1" applyBorder="1" applyAlignment="1" applyProtection="1">
      <alignment horizontal="center" vertical="center" wrapText="1"/>
      <protection locked="0"/>
    </xf>
    <xf numFmtId="177" fontId="31" fillId="0" borderId="0" xfId="2" applyNumberFormat="1" applyFont="1" applyAlignment="1" applyProtection="1">
      <alignment vertical="center" wrapText="1"/>
      <protection locked="0"/>
    </xf>
    <xf numFmtId="177" fontId="38" fillId="5" borderId="6" xfId="2" applyNumberFormat="1" applyFont="1" applyFill="1" applyBorder="1" applyAlignment="1" applyProtection="1">
      <alignment horizontal="center" vertical="center" wrapText="1"/>
      <protection locked="0"/>
    </xf>
    <xf numFmtId="0" fontId="31" fillId="2" borderId="6" xfId="2" applyFont="1" applyFill="1" applyBorder="1" applyAlignment="1" applyProtection="1">
      <alignment horizontal="center" vertical="center" wrapText="1"/>
      <protection locked="0"/>
    </xf>
    <xf numFmtId="0" fontId="31" fillId="0" borderId="45" xfId="2" applyFont="1" applyBorder="1" applyAlignment="1" applyProtection="1">
      <alignment vertical="center" wrapText="1"/>
      <protection locked="0"/>
    </xf>
    <xf numFmtId="0" fontId="31" fillId="0" borderId="45" xfId="2" applyFont="1" applyBorder="1" applyAlignment="1" applyProtection="1">
      <alignment horizontal="center" vertical="center" wrapText="1"/>
      <protection locked="0"/>
    </xf>
    <xf numFmtId="49" fontId="31" fillId="3" borderId="1" xfId="0" quotePrefix="1" applyNumberFormat="1" applyFont="1" applyFill="1" applyBorder="1" applyAlignment="1" applyProtection="1">
      <alignment horizontal="center" vertical="center" wrapText="1"/>
      <protection locked="0"/>
    </xf>
    <xf numFmtId="177" fontId="49" fillId="0" borderId="6" xfId="2" applyNumberFormat="1" applyFont="1" applyBorder="1" applyAlignment="1" applyProtection="1">
      <alignment horizontal="center" vertical="center" wrapText="1"/>
      <protection locked="0"/>
    </xf>
    <xf numFmtId="0" fontId="50" fillId="0" borderId="1" xfId="3" applyFont="1" applyBorder="1" applyAlignment="1">
      <alignment vertical="center" wrapText="1"/>
    </xf>
    <xf numFmtId="0" fontId="31" fillId="0" borderId="1" xfId="2" applyFont="1" applyBorder="1" applyAlignment="1" applyProtection="1">
      <alignment horizontal="left" vertical="center" wrapText="1"/>
      <protection locked="0"/>
    </xf>
    <xf numFmtId="49" fontId="49" fillId="12" borderId="1" xfId="0" quotePrefix="1" applyNumberFormat="1" applyFont="1" applyFill="1" applyBorder="1" applyAlignment="1" applyProtection="1">
      <alignment horizontal="left" vertical="top" wrapText="1"/>
      <protection locked="0"/>
    </xf>
    <xf numFmtId="0" fontId="52" fillId="12" borderId="1" xfId="0" applyFont="1" applyFill="1" applyBorder="1" applyAlignment="1">
      <alignment horizontal="left" vertical="center" wrapText="1" readingOrder="1"/>
    </xf>
    <xf numFmtId="0" fontId="32" fillId="12" borderId="1" xfId="0" applyFont="1" applyFill="1" applyBorder="1" applyAlignment="1">
      <alignment horizontal="left" vertical="top" wrapText="1"/>
    </xf>
    <xf numFmtId="0" fontId="40" fillId="12" borderId="1" xfId="0" applyFont="1" applyFill="1" applyBorder="1" applyAlignment="1">
      <alignment horizontal="center" vertical="center"/>
    </xf>
    <xf numFmtId="0" fontId="32" fillId="12" borderId="1" xfId="0" applyFont="1" applyFill="1" applyBorder="1" applyAlignment="1">
      <alignment vertical="center" wrapText="1"/>
    </xf>
    <xf numFmtId="0" fontId="32" fillId="12" borderId="48" xfId="0" applyFont="1" applyFill="1" applyBorder="1" applyAlignment="1">
      <alignment horizontal="center" vertical="center"/>
    </xf>
    <xf numFmtId="177" fontId="29" fillId="12" borderId="1" xfId="2" applyNumberFormat="1" applyFont="1" applyFill="1" applyBorder="1" applyAlignment="1" applyProtection="1">
      <alignment horizontal="center" vertical="center" wrapText="1"/>
      <protection locked="0"/>
    </xf>
    <xf numFmtId="0" fontId="29" fillId="12" borderId="1" xfId="2" applyFont="1" applyFill="1" applyBorder="1" applyAlignment="1" applyProtection="1">
      <alignment horizontal="center" vertical="center" wrapText="1"/>
      <protection locked="0"/>
    </xf>
    <xf numFmtId="177" fontId="49" fillId="12" borderId="1" xfId="2" applyNumberFormat="1" applyFont="1" applyFill="1" applyBorder="1" applyAlignment="1" applyProtection="1">
      <alignment horizontal="center" vertical="center" wrapText="1"/>
      <protection locked="0"/>
    </xf>
    <xf numFmtId="0" fontId="32" fillId="12" borderId="1" xfId="0" applyFont="1" applyFill="1" applyBorder="1" applyAlignment="1">
      <alignment horizontal="left" vertical="center" wrapText="1"/>
    </xf>
    <xf numFmtId="177" fontId="49" fillId="0" borderId="1" xfId="2" applyNumberFormat="1" applyFont="1" applyBorder="1" applyAlignment="1" applyProtection="1">
      <alignment horizontal="center" vertical="center" wrapText="1"/>
      <protection locked="0"/>
    </xf>
    <xf numFmtId="0" fontId="32" fillId="0" borderId="1" xfId="0" applyFont="1" applyBorder="1" applyAlignment="1">
      <alignment horizontal="justify" vertical="center" readingOrder="1"/>
    </xf>
    <xf numFmtId="0" fontId="43" fillId="0" borderId="1" xfId="0" applyFont="1" applyBorder="1" applyAlignment="1">
      <alignment horizontal="center" vertical="center" wrapText="1"/>
    </xf>
    <xf numFmtId="0" fontId="42" fillId="12" borderId="1" xfId="0" applyFont="1" applyFill="1" applyBorder="1" applyAlignment="1">
      <alignment horizontal="left" vertical="center" readingOrder="1"/>
    </xf>
    <xf numFmtId="0" fontId="32" fillId="12" borderId="48" xfId="0" applyFont="1" applyFill="1" applyBorder="1">
      <alignment vertical="center"/>
    </xf>
    <xf numFmtId="0" fontId="42" fillId="12" borderId="1" xfId="0" applyFont="1" applyFill="1" applyBorder="1" applyAlignment="1">
      <alignment horizontal="justify" vertical="center" readingOrder="1"/>
    </xf>
    <xf numFmtId="0" fontId="36" fillId="12" borderId="1" xfId="0" applyFont="1" applyFill="1" applyBorder="1" applyAlignment="1">
      <alignment horizontal="left" vertical="top" wrapText="1"/>
    </xf>
    <xf numFmtId="0" fontId="41" fillId="12" borderId="1" xfId="0" applyFont="1" applyFill="1" applyBorder="1" applyAlignment="1">
      <alignment horizontal="left" vertical="center" readingOrder="1"/>
    </xf>
    <xf numFmtId="0" fontId="32" fillId="12" borderId="1" xfId="0" applyFont="1" applyFill="1" applyBorder="1" applyAlignment="1">
      <alignment horizontal="left" vertical="top"/>
    </xf>
    <xf numFmtId="0" fontId="32" fillId="12" borderId="1" xfId="0" applyFont="1" applyFill="1" applyBorder="1" applyAlignment="1">
      <alignment horizontal="left" vertical="center"/>
    </xf>
    <xf numFmtId="0" fontId="32" fillId="12" borderId="1" xfId="0" applyFont="1" applyFill="1" applyBorder="1">
      <alignment vertical="center"/>
    </xf>
    <xf numFmtId="0" fontId="40" fillId="12" borderId="48" xfId="0" applyFont="1" applyFill="1" applyBorder="1" applyAlignment="1">
      <alignment horizontal="center" vertical="center"/>
    </xf>
    <xf numFmtId="0" fontId="38" fillId="5" borderId="1" xfId="2" applyFont="1" applyFill="1" applyBorder="1" applyAlignment="1" applyProtection="1">
      <alignment horizontal="center" vertical="center" wrapText="1"/>
      <protection locked="0"/>
    </xf>
    <xf numFmtId="49" fontId="38" fillId="5" borderId="1" xfId="2" applyNumberFormat="1" applyFont="1" applyFill="1" applyBorder="1" applyAlignment="1" applyProtection="1">
      <alignment horizontal="center" vertical="center" wrapText="1"/>
      <protection locked="0"/>
    </xf>
    <xf numFmtId="0" fontId="38" fillId="5" borderId="9" xfId="2" applyFont="1" applyFill="1" applyBorder="1" applyAlignment="1" applyProtection="1">
      <alignment horizontal="center" vertical="center" wrapText="1"/>
      <protection locked="0"/>
    </xf>
    <xf numFmtId="0" fontId="38" fillId="5" borderId="4" xfId="2" applyFont="1" applyFill="1" applyBorder="1" applyAlignment="1" applyProtection="1">
      <alignment horizontal="center" vertical="center" wrapText="1"/>
      <protection locked="0"/>
    </xf>
    <xf numFmtId="183" fontId="38" fillId="5" borderId="9" xfId="2" applyNumberFormat="1" applyFont="1" applyFill="1" applyBorder="1" applyAlignment="1" applyProtection="1">
      <alignment horizontal="center" vertical="center" wrapText="1"/>
      <protection locked="0"/>
    </xf>
    <xf numFmtId="183" fontId="38" fillId="5" borderId="4" xfId="2" applyNumberFormat="1" applyFont="1" applyFill="1" applyBorder="1" applyAlignment="1" applyProtection="1">
      <alignment horizontal="center" vertical="center" wrapText="1"/>
      <protection locked="0"/>
    </xf>
    <xf numFmtId="0" fontId="38" fillId="5" borderId="7" xfId="2" applyFont="1" applyFill="1" applyBorder="1" applyAlignment="1" applyProtection="1">
      <alignment horizontal="center" vertical="center" wrapText="1"/>
      <protection locked="0"/>
    </xf>
    <xf numFmtId="0" fontId="38" fillId="5" borderId="18" xfId="2" applyFont="1" applyFill="1" applyBorder="1" applyAlignment="1" applyProtection="1">
      <alignment horizontal="center" vertical="center" wrapText="1"/>
      <protection locked="0"/>
    </xf>
    <xf numFmtId="0" fontId="38" fillId="5" borderId="6" xfId="2" applyFont="1" applyFill="1" applyBorder="1" applyAlignment="1" applyProtection="1">
      <alignment horizontal="center" vertical="center" wrapText="1"/>
      <protection locked="0"/>
    </xf>
    <xf numFmtId="0" fontId="23" fillId="4" borderId="0" xfId="3" applyFont="1" applyFill="1" applyAlignment="1">
      <alignment horizontal="right" vertical="center"/>
    </xf>
    <xf numFmtId="0" fontId="22" fillId="4" borderId="0" xfId="3" applyFont="1" applyFill="1" applyAlignment="1">
      <alignment horizontal="right" vertical="top" indent="1"/>
    </xf>
    <xf numFmtId="49" fontId="24" fillId="4" borderId="0" xfId="3" applyNumberFormat="1" applyFont="1" applyFill="1" applyAlignment="1">
      <alignment horizontal="center" vertical="center"/>
    </xf>
    <xf numFmtId="0" fontId="5" fillId="4" borderId="16" xfId="3" applyFont="1" applyFill="1" applyBorder="1" applyAlignment="1">
      <alignment horizontal="center" vertical="center"/>
    </xf>
    <xf numFmtId="0" fontId="5" fillId="4" borderId="57" xfId="3" applyFont="1" applyFill="1" applyBorder="1" applyAlignment="1">
      <alignment horizontal="center" vertical="center"/>
    </xf>
    <xf numFmtId="0" fontId="5" fillId="4" borderId="46" xfId="3" applyFont="1" applyFill="1" applyBorder="1" applyAlignment="1">
      <alignment vertical="center"/>
    </xf>
    <xf numFmtId="0" fontId="5" fillId="4" borderId="5" xfId="3" applyFont="1" applyFill="1" applyBorder="1" applyAlignment="1">
      <alignment vertical="center"/>
    </xf>
    <xf numFmtId="0" fontId="5" fillId="4" borderId="57" xfId="3" applyFont="1" applyFill="1" applyBorder="1" applyAlignment="1">
      <alignment vertical="center"/>
    </xf>
    <xf numFmtId="0" fontId="5" fillId="4" borderId="46" xfId="3" applyFont="1" applyFill="1" applyBorder="1" applyAlignment="1">
      <alignment horizontal="center" vertical="center"/>
    </xf>
    <xf numFmtId="0" fontId="4" fillId="4" borderId="46" xfId="3" applyFont="1" applyFill="1" applyBorder="1" applyAlignment="1">
      <alignment horizontal="left" vertical="center"/>
    </xf>
    <xf numFmtId="0" fontId="4" fillId="4" borderId="5" xfId="3" applyFont="1" applyFill="1" applyBorder="1" applyAlignment="1">
      <alignment horizontal="left" vertical="center"/>
    </xf>
    <xf numFmtId="0" fontId="4" fillId="4" borderId="58" xfId="3" applyFont="1" applyFill="1" applyBorder="1" applyAlignment="1">
      <alignment horizontal="left" vertical="center"/>
    </xf>
    <xf numFmtId="0" fontId="22" fillId="4" borderId="0" xfId="3" applyFont="1" applyFill="1" applyAlignment="1">
      <alignment horizontal="right" vertical="center"/>
    </xf>
    <xf numFmtId="0" fontId="27" fillId="4" borderId="0" xfId="3" applyFont="1" applyFill="1" applyAlignment="1">
      <alignment horizontal="right" vertical="center"/>
    </xf>
    <xf numFmtId="0" fontId="22" fillId="4" borderId="0" xfId="3" applyFont="1" applyFill="1" applyAlignment="1">
      <alignment horizontal="center" vertical="top" wrapText="1"/>
    </xf>
    <xf numFmtId="0" fontId="22" fillId="4" borderId="0" xfId="3" applyFont="1" applyFill="1" applyAlignment="1">
      <alignment horizontal="center" vertical="top"/>
    </xf>
    <xf numFmtId="0" fontId="5" fillId="4" borderId="7" xfId="3" applyFont="1" applyFill="1" applyBorder="1" applyAlignment="1">
      <alignment horizontal="left" vertical="center"/>
    </xf>
    <xf numFmtId="0" fontId="5" fillId="4" borderId="18" xfId="3" applyFont="1" applyFill="1" applyBorder="1" applyAlignment="1">
      <alignment horizontal="left" vertical="center"/>
    </xf>
    <xf numFmtId="0" fontId="5" fillId="4" borderId="17" xfId="3" applyFont="1" applyFill="1" applyBorder="1" applyAlignment="1">
      <alignment horizontal="left" vertical="center"/>
    </xf>
    <xf numFmtId="0" fontId="5" fillId="4" borderId="60" xfId="3" applyFont="1" applyFill="1" applyBorder="1" applyAlignment="1">
      <alignment horizontal="center" vertical="center"/>
    </xf>
    <xf numFmtId="0" fontId="5" fillId="4" borderId="10" xfId="3" applyFont="1" applyFill="1" applyBorder="1" applyAlignment="1">
      <alignment horizontal="center" vertical="center"/>
    </xf>
    <xf numFmtId="0" fontId="5" fillId="4" borderId="61" xfId="3" applyFont="1" applyFill="1" applyBorder="1" applyAlignment="1">
      <alignment vertical="center"/>
    </xf>
    <xf numFmtId="0" fontId="5" fillId="4" borderId="62" xfId="3" applyFont="1" applyFill="1" applyBorder="1" applyAlignment="1">
      <alignment vertical="center"/>
    </xf>
    <xf numFmtId="0" fontId="5" fillId="4" borderId="10" xfId="3" applyFont="1" applyFill="1" applyBorder="1" applyAlignment="1">
      <alignment vertical="center"/>
    </xf>
    <xf numFmtId="0" fontId="5" fillId="4" borderId="61" xfId="3" applyFont="1" applyFill="1" applyBorder="1" applyAlignment="1">
      <alignment horizontal="center" vertical="center"/>
    </xf>
    <xf numFmtId="0" fontId="5" fillId="4" borderId="61" xfId="3" applyFont="1" applyFill="1" applyBorder="1" applyAlignment="1">
      <alignment horizontal="left" vertical="center"/>
    </xf>
    <xf numFmtId="0" fontId="5" fillId="4" borderId="62" xfId="3" applyFont="1" applyFill="1" applyBorder="1" applyAlignment="1">
      <alignment horizontal="left" vertical="center"/>
    </xf>
    <xf numFmtId="0" fontId="5" fillId="4" borderId="63" xfId="3" applyFont="1" applyFill="1" applyBorder="1" applyAlignment="1">
      <alignment horizontal="left" vertical="center"/>
    </xf>
    <xf numFmtId="0" fontId="5" fillId="4" borderId="59" xfId="3" applyFont="1" applyFill="1" applyBorder="1" applyAlignment="1">
      <alignment horizontal="center" vertical="center"/>
    </xf>
    <xf numFmtId="0" fontId="5" fillId="4" borderId="6" xfId="3" applyFont="1" applyFill="1" applyBorder="1" applyAlignment="1">
      <alignment horizontal="center" vertical="center"/>
    </xf>
    <xf numFmtId="0" fontId="5" fillId="4" borderId="7" xfId="3" applyFont="1" applyFill="1" applyBorder="1" applyAlignment="1">
      <alignment vertical="center"/>
    </xf>
    <xf numFmtId="0" fontId="5" fillId="4" borderId="18" xfId="3" applyFont="1" applyFill="1" applyBorder="1" applyAlignment="1">
      <alignment vertical="center"/>
    </xf>
    <xf numFmtId="0" fontId="5" fillId="4" borderId="6" xfId="3" applyFont="1" applyFill="1" applyBorder="1" applyAlignment="1">
      <alignment vertical="center"/>
    </xf>
    <xf numFmtId="0" fontId="5" fillId="4" borderId="7" xfId="3" applyFont="1" applyFill="1" applyBorder="1" applyAlignment="1">
      <alignment horizontal="center" vertical="center"/>
    </xf>
    <xf numFmtId="0" fontId="21" fillId="4" borderId="49" xfId="3" applyFont="1" applyFill="1" applyBorder="1" applyAlignment="1">
      <alignment horizontal="center" vertical="center"/>
    </xf>
    <xf numFmtId="0" fontId="16" fillId="3" borderId="1" xfId="0" applyFont="1" applyFill="1" applyBorder="1" applyAlignment="1">
      <alignment horizontal="center" vertical="center" wrapText="1"/>
    </xf>
    <xf numFmtId="49" fontId="16" fillId="3" borderId="7" xfId="0" applyNumberFormat="1" applyFont="1" applyFill="1" applyBorder="1" applyAlignment="1">
      <alignment horizontal="center" vertical="center" wrapText="1"/>
    </xf>
    <xf numFmtId="49" fontId="16" fillId="3" borderId="6" xfId="0" applyNumberFormat="1" applyFont="1" applyFill="1" applyBorder="1" applyAlignment="1">
      <alignment horizontal="center" vertical="center" wrapText="1"/>
    </xf>
    <xf numFmtId="49" fontId="16" fillId="0" borderId="1" xfId="0" applyNumberFormat="1" applyFont="1" applyBorder="1" applyAlignment="1">
      <alignment horizontal="center" vertical="center" wrapText="1"/>
    </xf>
    <xf numFmtId="181" fontId="16" fillId="0" borderId="7" xfId="0" applyNumberFormat="1" applyFont="1" applyBorder="1" applyAlignment="1">
      <alignment horizontal="left" vertical="top" wrapText="1"/>
    </xf>
    <xf numFmtId="181" fontId="16" fillId="0" borderId="18" xfId="0" applyNumberFormat="1" applyFont="1" applyBorder="1" applyAlignment="1">
      <alignment horizontal="left" vertical="top" wrapText="1"/>
    </xf>
    <xf numFmtId="181" fontId="16" fillId="0" borderId="6" xfId="0" applyNumberFormat="1" applyFont="1" applyBorder="1" applyAlignment="1">
      <alignment horizontal="left" vertical="top" wrapText="1"/>
    </xf>
    <xf numFmtId="49" fontId="16" fillId="0" borderId="7" xfId="0" applyNumberFormat="1" applyFont="1" applyBorder="1" applyAlignment="1">
      <alignment horizontal="center" vertical="center" wrapText="1"/>
    </xf>
    <xf numFmtId="49" fontId="16" fillId="0" borderId="18" xfId="0" applyNumberFormat="1" applyFont="1" applyBorder="1" applyAlignment="1">
      <alignment horizontal="center" vertical="center" wrapText="1"/>
    </xf>
    <xf numFmtId="49" fontId="16" fillId="0" borderId="6" xfId="0" applyNumberFormat="1" applyFont="1" applyBorder="1" applyAlignment="1">
      <alignment horizontal="center" vertical="center" wrapText="1"/>
    </xf>
    <xf numFmtId="0" fontId="16" fillId="0" borderId="1" xfId="0" applyFont="1" applyBorder="1" applyAlignment="1">
      <alignment horizontal="center" vertical="center" wrapText="1"/>
    </xf>
    <xf numFmtId="14" fontId="15" fillId="0" borderId="0" xfId="0" applyNumberFormat="1" applyFont="1" applyAlignment="1">
      <alignment horizontal="center" vertical="center" wrapText="1"/>
    </xf>
    <xf numFmtId="0" fontId="15" fillId="0" borderId="0" xfId="0" applyFont="1" applyAlignment="1">
      <alignment horizontal="center" vertical="center"/>
    </xf>
    <xf numFmtId="0" fontId="6" fillId="0" borderId="0" xfId="0" applyFont="1" applyAlignment="1">
      <alignment horizontal="center" vertical="center"/>
    </xf>
    <xf numFmtId="49" fontId="15" fillId="0" borderId="48" xfId="0" applyNumberFormat="1" applyFont="1" applyBorder="1" applyAlignment="1">
      <alignment horizontal="center" vertical="center" wrapText="1"/>
    </xf>
    <xf numFmtId="49" fontId="16" fillId="0" borderId="21" xfId="0" applyNumberFormat="1" applyFont="1" applyBorder="1" applyAlignment="1">
      <alignment horizontal="center" vertical="center" wrapText="1"/>
    </xf>
    <xf numFmtId="49" fontId="16" fillId="0" borderId="12" xfId="0" applyNumberFormat="1" applyFont="1" applyBorder="1" applyAlignment="1">
      <alignment horizontal="center" vertical="center" wrapText="1"/>
    </xf>
    <xf numFmtId="49" fontId="16" fillId="0" borderId="11" xfId="0" applyNumberFormat="1" applyFont="1" applyBorder="1" applyAlignment="1">
      <alignment horizontal="center" vertical="center" wrapText="1"/>
    </xf>
    <xf numFmtId="49" fontId="15" fillId="0" borderId="47" xfId="0" applyNumberFormat="1" applyFont="1" applyBorder="1" applyAlignment="1">
      <alignment horizontal="left" vertical="center" wrapText="1"/>
    </xf>
    <xf numFmtId="49" fontId="15" fillId="0" borderId="0" xfId="0" applyNumberFormat="1" applyFont="1" applyAlignment="1">
      <alignment horizontal="left" vertical="center" wrapText="1"/>
    </xf>
    <xf numFmtId="49" fontId="15" fillId="0" borderId="45" xfId="0" applyNumberFormat="1" applyFont="1" applyBorder="1" applyAlignment="1">
      <alignment horizontal="left" vertical="center" wrapText="1"/>
    </xf>
    <xf numFmtId="49" fontId="16" fillId="0" borderId="48" xfId="0" applyNumberFormat="1" applyFont="1" applyBorder="1" applyAlignment="1">
      <alignment horizontal="center" vertical="center" wrapText="1"/>
    </xf>
    <xf numFmtId="0" fontId="16" fillId="0" borderId="48" xfId="0" applyFont="1" applyBorder="1" applyAlignment="1">
      <alignment horizontal="center" vertical="center" wrapText="1"/>
    </xf>
    <xf numFmtId="0" fontId="15" fillId="5" borderId="16"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5" fillId="5" borderId="76"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5" fillId="5" borderId="29" xfId="0" applyFont="1" applyFill="1" applyBorder="1" applyAlignment="1">
      <alignment horizontal="center" vertical="center" wrapText="1"/>
    </xf>
    <xf numFmtId="49" fontId="16" fillId="8" borderId="7" xfId="0" applyNumberFormat="1" applyFont="1" applyFill="1" applyBorder="1" applyAlignment="1">
      <alignment horizontal="center" vertical="center" wrapText="1"/>
    </xf>
    <xf numFmtId="49" fontId="16" fillId="8" borderId="18" xfId="0" applyNumberFormat="1" applyFont="1" applyFill="1" applyBorder="1" applyAlignment="1">
      <alignment horizontal="center" vertical="center" wrapText="1"/>
    </xf>
    <xf numFmtId="49" fontId="16" fillId="8" borderId="6"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91" xfId="0" applyFont="1" applyFill="1" applyBorder="1" applyAlignment="1">
      <alignment horizontal="center" vertical="center" wrapText="1"/>
    </xf>
    <xf numFmtId="0" fontId="15" fillId="5" borderId="39" xfId="0" applyFont="1" applyFill="1" applyBorder="1" applyAlignment="1">
      <alignment horizontal="center" vertical="center" wrapText="1"/>
    </xf>
    <xf numFmtId="0" fontId="15" fillId="5" borderId="40" xfId="0" applyFont="1" applyFill="1" applyBorder="1" applyAlignment="1">
      <alignment horizontal="center" vertical="center" wrapText="1"/>
    </xf>
    <xf numFmtId="0" fontId="15" fillId="5" borderId="70"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5" borderId="73" xfId="0" applyFont="1" applyFill="1" applyBorder="1" applyAlignment="1">
      <alignment horizontal="center" vertical="center" wrapText="1"/>
    </xf>
    <xf numFmtId="0" fontId="15" fillId="5" borderId="74" xfId="0" applyFont="1" applyFill="1" applyBorder="1" applyAlignment="1">
      <alignment horizontal="center" vertical="center" wrapText="1"/>
    </xf>
    <xf numFmtId="49" fontId="16" fillId="3" borderId="18" xfId="0" applyNumberFormat="1" applyFont="1" applyFill="1" applyBorder="1" applyAlignment="1">
      <alignment horizontal="center" vertical="center" wrapText="1"/>
    </xf>
    <xf numFmtId="0" fontId="15" fillId="5" borderId="68" xfId="0" applyFont="1" applyFill="1" applyBorder="1" applyAlignment="1">
      <alignment horizontal="center" vertical="center" wrapText="1"/>
    </xf>
    <xf numFmtId="0" fontId="15" fillId="5" borderId="94" xfId="0" applyFont="1" applyFill="1" applyBorder="1" applyAlignment="1">
      <alignment horizontal="center" vertical="center" wrapText="1"/>
    </xf>
    <xf numFmtId="0" fontId="15" fillId="5" borderId="75" xfId="0" applyFont="1" applyFill="1" applyBorder="1" applyAlignment="1">
      <alignment horizontal="center" vertical="center" wrapText="1"/>
    </xf>
    <xf numFmtId="180" fontId="15" fillId="5" borderId="27" xfId="0" applyNumberFormat="1" applyFont="1" applyFill="1" applyBorder="1" applyAlignment="1">
      <alignment horizontal="center" vertical="center"/>
    </xf>
    <xf numFmtId="180" fontId="15" fillId="5" borderId="44" xfId="0" applyNumberFormat="1" applyFont="1" applyFill="1" applyBorder="1" applyAlignment="1">
      <alignment horizontal="center" vertical="center"/>
    </xf>
    <xf numFmtId="180" fontId="15" fillId="5" borderId="47" xfId="0" applyNumberFormat="1" applyFont="1" applyFill="1" applyBorder="1" applyAlignment="1">
      <alignment horizontal="center" vertical="center"/>
    </xf>
    <xf numFmtId="180" fontId="15" fillId="5" borderId="45" xfId="0" applyNumberFormat="1" applyFont="1" applyFill="1" applyBorder="1" applyAlignment="1">
      <alignment horizontal="center" vertical="center"/>
    </xf>
    <xf numFmtId="180" fontId="15" fillId="5" borderId="21" xfId="0" applyNumberFormat="1" applyFont="1" applyFill="1" applyBorder="1" applyAlignment="1">
      <alignment horizontal="center" vertical="center"/>
    </xf>
    <xf numFmtId="180" fontId="15" fillId="5" borderId="11" xfId="0" applyNumberFormat="1" applyFont="1" applyFill="1" applyBorder="1" applyAlignment="1">
      <alignment horizontal="center" vertical="center"/>
    </xf>
    <xf numFmtId="180" fontId="15" fillId="5" borderId="7" xfId="0" applyNumberFormat="1" applyFont="1" applyFill="1" applyBorder="1" applyAlignment="1">
      <alignment horizontal="center" vertical="center"/>
    </xf>
    <xf numFmtId="180" fontId="15" fillId="5" borderId="6" xfId="0" applyNumberFormat="1" applyFont="1" applyFill="1" applyBorder="1" applyAlignment="1">
      <alignment horizontal="center" vertical="center"/>
    </xf>
    <xf numFmtId="0" fontId="15" fillId="5" borderId="101" xfId="0" applyFont="1" applyFill="1" applyBorder="1" applyAlignment="1">
      <alignment horizontal="center" vertical="center" wrapText="1"/>
    </xf>
    <xf numFmtId="0" fontId="15" fillId="5" borderId="38" xfId="0" applyFont="1" applyFill="1" applyBorder="1" applyAlignment="1">
      <alignment horizontal="center" vertical="center" wrapText="1"/>
    </xf>
    <xf numFmtId="0" fontId="15" fillId="5" borderId="102" xfId="0" applyFont="1" applyFill="1" applyBorder="1" applyAlignment="1">
      <alignment horizontal="center" vertical="center" wrapText="1"/>
    </xf>
    <xf numFmtId="0" fontId="15" fillId="10" borderId="14" xfId="0" applyFont="1" applyFill="1" applyBorder="1" applyAlignment="1">
      <alignment horizontal="center" vertical="center" wrapText="1"/>
    </xf>
    <xf numFmtId="0" fontId="15" fillId="10" borderId="15" xfId="0" applyFont="1" applyFill="1" applyBorder="1" applyAlignment="1">
      <alignment horizontal="center" vertical="center" wrapText="1"/>
    </xf>
    <xf numFmtId="0" fontId="15" fillId="11" borderId="73" xfId="0" applyFont="1" applyFill="1" applyBorder="1" applyAlignment="1">
      <alignment horizontal="center" vertical="center" wrapText="1"/>
    </xf>
    <xf numFmtId="0" fontId="15" fillId="11" borderId="74" xfId="0" applyFont="1" applyFill="1" applyBorder="1" applyAlignment="1">
      <alignment horizontal="center" vertical="center" wrapText="1"/>
    </xf>
    <xf numFmtId="0" fontId="15" fillId="11" borderId="75" xfId="0" applyFont="1" applyFill="1" applyBorder="1" applyAlignment="1">
      <alignment horizontal="center" vertical="center" wrapText="1"/>
    </xf>
    <xf numFmtId="49" fontId="15" fillId="0" borderId="27" xfId="0" applyNumberFormat="1" applyFont="1" applyBorder="1" applyAlignment="1">
      <alignment horizontal="left" vertical="center" wrapText="1"/>
    </xf>
    <xf numFmtId="49" fontId="15" fillId="0" borderId="43" xfId="0" applyNumberFormat="1" applyFont="1" applyBorder="1" applyAlignment="1">
      <alignment horizontal="left" vertical="center" wrapText="1"/>
    </xf>
    <xf numFmtId="49" fontId="15" fillId="0" borderId="44" xfId="0" applyNumberFormat="1" applyFont="1" applyBorder="1" applyAlignment="1">
      <alignment horizontal="left" vertical="center" wrapText="1"/>
    </xf>
    <xf numFmtId="0" fontId="15" fillId="5" borderId="9" xfId="0" applyFont="1" applyFill="1" applyBorder="1" applyAlignment="1">
      <alignment horizontal="center" vertical="center" wrapText="1"/>
    </xf>
    <xf numFmtId="0" fontId="15" fillId="5" borderId="48" xfId="0" applyFont="1" applyFill="1" applyBorder="1" applyAlignment="1">
      <alignment horizontal="center" vertical="center" wrapText="1"/>
    </xf>
    <xf numFmtId="0" fontId="15" fillId="5" borderId="71" xfId="0" applyFont="1" applyFill="1" applyBorder="1" applyAlignment="1">
      <alignment horizontal="center" vertical="center" wrapText="1"/>
    </xf>
    <xf numFmtId="0" fontId="15" fillId="5" borderId="92" xfId="0" applyFont="1" applyFill="1" applyBorder="1" applyAlignment="1">
      <alignment horizontal="center" vertical="center" wrapText="1"/>
    </xf>
    <xf numFmtId="0" fontId="15" fillId="5" borderId="28" xfId="0" applyFont="1" applyFill="1" applyBorder="1" applyAlignment="1">
      <alignment horizontal="center" vertical="center" wrapText="1"/>
    </xf>
    <xf numFmtId="0" fontId="15" fillId="5" borderId="93" xfId="0" applyFont="1" applyFill="1" applyBorder="1" applyAlignment="1">
      <alignment horizontal="center" vertical="center" wrapText="1"/>
    </xf>
    <xf numFmtId="0" fontId="15" fillId="5" borderId="27" xfId="0" applyFont="1" applyFill="1" applyBorder="1" applyAlignment="1">
      <alignment horizontal="center" vertical="center" wrapText="1"/>
    </xf>
    <xf numFmtId="0" fontId="15" fillId="5" borderId="44" xfId="0" applyFont="1" applyFill="1" applyBorder="1" applyAlignment="1">
      <alignment horizontal="center" vertical="center" wrapText="1"/>
    </xf>
    <xf numFmtId="0" fontId="15" fillId="5" borderId="47"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21" xfId="0" applyFont="1" applyFill="1" applyBorder="1" applyAlignment="1">
      <alignment horizontal="center" vertical="center" wrapText="1"/>
    </xf>
    <xf numFmtId="0" fontId="15" fillId="5" borderId="11" xfId="0" applyFont="1" applyFill="1" applyBorder="1" applyAlignment="1">
      <alignment horizontal="center" vertical="center" wrapText="1"/>
    </xf>
    <xf numFmtId="49" fontId="16" fillId="8" borderId="1" xfId="0" applyNumberFormat="1" applyFont="1" applyFill="1" applyBorder="1" applyAlignment="1">
      <alignment horizontal="center" vertical="center" wrapText="1"/>
    </xf>
    <xf numFmtId="49" fontId="16" fillId="0" borderId="1" xfId="0" applyNumberFormat="1" applyFont="1" applyBorder="1" applyAlignment="1">
      <alignment horizontal="left" vertical="center" wrapText="1"/>
    </xf>
    <xf numFmtId="0" fontId="16" fillId="0" borderId="1" xfId="0" applyFont="1" applyBorder="1" applyAlignment="1">
      <alignment horizontal="left" vertical="center"/>
    </xf>
    <xf numFmtId="0" fontId="37" fillId="5" borderId="1" xfId="0" applyFont="1" applyFill="1" applyBorder="1" applyAlignment="1">
      <alignment horizontal="center" vertical="center"/>
    </xf>
    <xf numFmtId="0" fontId="37" fillId="5" borderId="9" xfId="0" applyFont="1" applyFill="1" applyBorder="1" applyAlignment="1">
      <alignment horizontal="center" vertical="center"/>
    </xf>
    <xf numFmtId="0" fontId="37" fillId="5" borderId="4" xfId="0" applyFont="1" applyFill="1" applyBorder="1" applyAlignment="1">
      <alignment horizontal="center" vertical="center"/>
    </xf>
    <xf numFmtId="0" fontId="38" fillId="5" borderId="27" xfId="2" applyFont="1" applyFill="1" applyBorder="1" applyAlignment="1" applyProtection="1">
      <alignment horizontal="center" vertical="center" wrapText="1"/>
      <protection locked="0"/>
    </xf>
    <xf numFmtId="0" fontId="38" fillId="5" borderId="21" xfId="2" applyFont="1" applyFill="1" applyBorder="1" applyAlignment="1" applyProtection="1">
      <alignment horizontal="center" vertical="center" wrapText="1"/>
      <protection locked="0"/>
    </xf>
    <xf numFmtId="0" fontId="25" fillId="0" borderId="0" xfId="0" applyFont="1" applyAlignment="1">
      <alignment horizontal="left" vertical="center"/>
    </xf>
  </cellXfs>
  <cellStyles count="7">
    <cellStyle name="백분율" xfId="1" builtinId="5"/>
    <cellStyle name="쉼표 [0]" xfId="4" builtinId="6"/>
    <cellStyle name="표준" xfId="0" builtinId="0"/>
    <cellStyle name="표준 2 2" xfId="3" xr:uid="{00000000-0005-0000-0000-000003000000}"/>
    <cellStyle name="표준 2 2 2" xfId="6" xr:uid="{00000000-0005-0000-0000-000004000000}"/>
    <cellStyle name="표준_DNS(PHOTO)_현지테스트_이슈사항_20041111" xfId="5" xr:uid="{00000000-0005-0000-0000-000005000000}"/>
    <cellStyle name="표준_P7 Cell Rubbing Inline Test Result_P7-ICS-63352-Fab Offline Test 결과서_FPHT0900" xfId="2" xr:uid="{00000000-0005-0000-0000-000006000000}"/>
  </cellStyles>
  <dxfs count="740">
    <dxf>
      <font>
        <color theme="1"/>
      </font>
      <fill>
        <patternFill>
          <bgColor rgb="FFFFFF00"/>
        </patternFill>
      </fill>
    </dxf>
    <dxf>
      <font>
        <color theme="1"/>
      </font>
      <fill>
        <patternFill>
          <bgColor theme="0" tint="-0.24994659260841701"/>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FF0000"/>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1"/>
      </font>
      <fill>
        <patternFill>
          <bgColor rgb="FF00B0F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FF0000"/>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1"/>
      </font>
      <fill>
        <patternFill>
          <bgColor theme="0" tint="-0.24994659260841701"/>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0"/>
      </font>
      <fill>
        <patternFill>
          <bgColor rgb="FFFF0000"/>
        </patternFill>
      </fill>
    </dxf>
    <dxf>
      <font>
        <color theme="1"/>
      </font>
      <fill>
        <patternFill>
          <bgColor rgb="FF00B0F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1"/>
      </font>
      <fill>
        <patternFill>
          <bgColor theme="0" tint="-0.24994659260841701"/>
        </patternFill>
      </fill>
    </dxf>
    <dxf>
      <font>
        <color theme="0" tint="-0.499984740745262"/>
      </font>
      <fill>
        <patternFill>
          <bgColor theme="0" tint="-0.14996795556505021"/>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font>
      <fill>
        <patternFill>
          <bgColor rgb="FFFF000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FF0000"/>
        </patternFill>
      </fill>
    </dxf>
    <dxf>
      <font>
        <color theme="1"/>
      </font>
      <fill>
        <patternFill>
          <bgColor rgb="FF00B0F0"/>
        </patternFill>
      </fill>
    </dxf>
    <dxf>
      <font>
        <color theme="0"/>
      </font>
      <fill>
        <patternFill>
          <bgColor rgb="FF0070C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1"/>
      </font>
      <fill>
        <patternFill>
          <bgColor rgb="FF00B0F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FF000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rgb="FF00B0F0"/>
        </patternFill>
      </fill>
    </dxf>
    <dxf>
      <fill>
        <patternFill>
          <bgColor theme="0" tint="-0.499984740745262"/>
        </patternFill>
      </fill>
      <border>
        <left style="thin">
          <color indexed="64"/>
        </left>
        <right style="thin">
          <color indexed="64"/>
        </right>
        <top style="thin">
          <color indexed="64"/>
        </top>
        <bottom style="thin">
          <color indexed="64"/>
        </bottom>
      </border>
    </dxf>
    <dxf>
      <fill>
        <patternFill>
          <bgColor theme="0" tint="-0.499984740745262"/>
        </patternFill>
      </fill>
      <border>
        <left style="thin">
          <color indexed="64"/>
        </left>
        <right style="thin">
          <color indexed="64"/>
        </right>
        <top style="thin">
          <color indexed="64"/>
        </top>
        <bottom style="thin">
          <color indexed="64"/>
        </bottom>
      </border>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auto="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0"/>
      </font>
      <fill>
        <patternFill>
          <bgColor rgb="FF0070C0"/>
        </patternFill>
      </fill>
    </dxf>
    <dxf>
      <font>
        <color theme="1"/>
      </font>
      <fill>
        <patternFill>
          <bgColor rgb="FF0070C0"/>
        </patternFill>
      </fill>
    </dxf>
    <dxf>
      <font>
        <color auto="1"/>
      </font>
      <fill>
        <patternFill>
          <bgColor rgb="FFFFFF00"/>
        </patternFill>
      </fill>
    </dxf>
    <dxf>
      <font>
        <color theme="0"/>
      </font>
      <fill>
        <patternFill>
          <bgColor rgb="FFFF00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font>
      <fill>
        <patternFill>
          <bgColor rgb="FFFF0000"/>
        </patternFill>
      </fill>
    </dxf>
    <dxf>
      <font>
        <color theme="0" tint="-0.499984740745262"/>
      </font>
      <fill>
        <patternFill>
          <bgColor theme="0" tint="-0.14996795556505021"/>
        </patternFill>
      </fill>
    </dxf>
    <dxf>
      <font>
        <color theme="1"/>
      </font>
      <fill>
        <patternFill>
          <bgColor rgb="FF00B0F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B0F0"/>
        </patternFill>
      </fill>
    </dxf>
    <dxf>
      <font>
        <color theme="0" tint="-0.499984740745262"/>
      </font>
      <fill>
        <patternFill>
          <bgColor theme="0" tint="-0.14996795556505021"/>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1"/>
      </font>
      <fill>
        <patternFill>
          <bgColor rgb="FFFFFF00"/>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theme="0" tint="-0.24994659260841701"/>
        </patternFill>
      </fill>
    </dxf>
    <dxf>
      <font>
        <color theme="1"/>
      </font>
      <fill>
        <patternFill>
          <bgColor rgb="FF00B0F0"/>
        </patternFill>
      </fill>
    </dxf>
    <dxf>
      <font>
        <color theme="0"/>
      </font>
      <fill>
        <patternFill>
          <bgColor rgb="FFFF0000"/>
        </patternFill>
      </fill>
    </dxf>
    <dxf>
      <font>
        <color theme="1"/>
      </font>
      <fill>
        <patternFill>
          <bgColor theme="0" tint="-0.24994659260841701"/>
        </patternFill>
      </fill>
    </dxf>
    <dxf>
      <font>
        <color auto="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auto="1"/>
      </font>
      <fill>
        <patternFill>
          <bgColor rgb="FFFFFF00"/>
        </patternFill>
      </fill>
    </dxf>
    <dxf>
      <font>
        <color theme="0" tint="-0.499984740745262"/>
      </font>
      <fill>
        <patternFill>
          <bgColor theme="0" tint="-0.14996795556505021"/>
        </patternFill>
      </fill>
    </dxf>
    <dxf>
      <font>
        <color theme="0"/>
      </font>
      <fill>
        <patternFill>
          <bgColor rgb="FFFF00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B0F0"/>
        </patternFill>
      </fill>
    </dxf>
    <dxf>
      <font>
        <color theme="0"/>
      </font>
      <fill>
        <patternFill>
          <bgColor rgb="FFFF000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1"/>
      </font>
      <fill>
        <patternFill>
          <bgColor rgb="FFFFFF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theme="0" tint="-0.24994659260841701"/>
        </patternFill>
      </fill>
    </dxf>
    <dxf>
      <font>
        <color auto="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00B0F0"/>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auto="1"/>
      </font>
      <fill>
        <patternFill>
          <bgColor rgb="FFFFFF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B0F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font>
      <fill>
        <patternFill>
          <bgColor rgb="FFFF0000"/>
        </patternFill>
      </fill>
    </dxf>
    <dxf>
      <font>
        <color theme="1"/>
      </font>
      <fill>
        <patternFill>
          <bgColor rgb="FF00B0F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theme="0" tint="-0.24994659260841701"/>
        </patternFill>
      </fill>
    </dxf>
    <dxf>
      <font>
        <color theme="1"/>
      </font>
      <fill>
        <patternFill>
          <bgColor rgb="FFFFFF00"/>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auto="1"/>
      </font>
      <fill>
        <patternFill>
          <bgColor rgb="FFFFFF00"/>
        </patternFill>
      </fill>
    </dxf>
    <dxf>
      <font>
        <color theme="1"/>
      </font>
      <fill>
        <patternFill>
          <bgColor theme="0" tint="-0.24994659260841701"/>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rgb="FF00B0F0"/>
        </patternFill>
      </fill>
    </dxf>
    <dxf>
      <font>
        <color theme="1"/>
      </font>
      <fill>
        <patternFill>
          <bgColor theme="0" tint="-0.24994659260841701"/>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0"/>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auto="1"/>
      </font>
      <fill>
        <patternFill>
          <bgColor rgb="FFFFFF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FFFF00"/>
        </patternFill>
      </fill>
    </dxf>
    <dxf>
      <font>
        <color theme="1"/>
      </font>
      <fill>
        <patternFill>
          <bgColor theme="0" tint="-0.24994659260841701"/>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theme="0" tint="-0.24994659260841701"/>
        </patternFill>
      </fill>
    </dxf>
    <dxf>
      <font>
        <color auto="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auto="1"/>
      </font>
      <fill>
        <patternFill>
          <bgColor rgb="FFFFFF0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0"/>
      </font>
      <fill>
        <patternFill>
          <bgColor rgb="FF0070C0"/>
        </patternFill>
      </fill>
    </dxf>
    <dxf>
      <font>
        <color theme="1"/>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0"/>
      </font>
      <fill>
        <patternFill>
          <bgColor rgb="FFFF0000"/>
        </patternFill>
      </fill>
    </dxf>
    <dxf>
      <font>
        <color auto="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auto="1"/>
      </font>
      <fill>
        <patternFill>
          <bgColor rgb="FFFFFF00"/>
        </patternFill>
      </fill>
    </dxf>
    <dxf>
      <font>
        <color theme="0" tint="-0.499984740745262"/>
      </font>
      <fill>
        <patternFill>
          <bgColor theme="0" tint="-0.14996795556505021"/>
        </patternFill>
      </fill>
    </dxf>
    <dxf>
      <font>
        <color theme="1"/>
      </font>
      <fill>
        <patternFill>
          <bgColor rgb="FF00B0F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1"/>
      </font>
      <fill>
        <patternFill>
          <bgColor rgb="FF00B0F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1"/>
      </font>
      <fill>
        <patternFill>
          <bgColor rgb="FFFFFF00"/>
        </patternFill>
      </fill>
    </dxf>
    <dxf>
      <font>
        <color theme="0"/>
      </font>
      <fill>
        <patternFill>
          <bgColor rgb="FFFF0000"/>
        </patternFill>
      </fill>
    </dxf>
    <dxf>
      <font>
        <color theme="1"/>
      </font>
      <fill>
        <patternFill>
          <bgColor theme="0" tint="-0.24994659260841701"/>
        </patternFill>
      </fill>
    </dxf>
    <dxf>
      <font>
        <color theme="1"/>
      </font>
      <fill>
        <patternFill>
          <bgColor rgb="FF00B0F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auto="1"/>
      </font>
      <fill>
        <patternFill>
          <bgColor rgb="FFFFFF00"/>
        </patternFill>
      </fill>
    </dxf>
    <dxf>
      <font>
        <color theme="1"/>
      </font>
      <fill>
        <patternFill>
          <bgColor rgb="FF00B0F0"/>
        </patternFill>
      </fill>
    </dxf>
    <dxf>
      <font>
        <color theme="0"/>
      </font>
      <fill>
        <patternFill>
          <bgColor rgb="FFFF0000"/>
        </patternFill>
      </fill>
    </dxf>
    <dxf>
      <font>
        <color theme="1"/>
      </font>
      <fill>
        <patternFill>
          <bgColor theme="0" tint="-0.24994659260841701"/>
        </patternFill>
      </fill>
    </dxf>
    <dxf>
      <font>
        <color theme="1"/>
      </font>
      <fill>
        <patternFill>
          <bgColor rgb="FFFFFF00"/>
        </patternFill>
      </fill>
    </dxf>
    <dxf>
      <font>
        <color theme="1"/>
      </font>
      <fill>
        <patternFill>
          <bgColor theme="0" tint="-0.24994659260841701"/>
        </patternFill>
      </fill>
    </dxf>
    <dxf>
      <font>
        <color theme="0"/>
      </font>
      <fill>
        <patternFill>
          <bgColor rgb="FFFF0000"/>
        </patternFill>
      </fill>
    </dxf>
    <dxf>
      <font>
        <color theme="1"/>
      </font>
      <fill>
        <patternFill>
          <bgColor rgb="FF00B0F0"/>
        </patternFill>
      </fill>
    </dxf>
    <dxf>
      <font>
        <color theme="1"/>
      </font>
      <fill>
        <patternFill>
          <bgColor rgb="FFFFFF00"/>
        </patternFill>
      </fill>
    </dxf>
    <dxf>
      <font>
        <color theme="0"/>
      </font>
      <fill>
        <patternFill>
          <bgColor rgb="FFFF0000"/>
        </patternFill>
      </fill>
    </dxf>
    <dxf>
      <font>
        <color theme="1"/>
      </font>
      <fill>
        <patternFill>
          <bgColor rgb="FF00B0F0"/>
        </patternFill>
      </fill>
    </dxf>
    <dxf>
      <font>
        <color theme="1"/>
      </font>
      <fill>
        <patternFill>
          <bgColor theme="0" tint="-0.24994659260841701"/>
        </patternFill>
      </fill>
    </dxf>
    <dxf>
      <font>
        <color theme="1"/>
      </font>
      <fill>
        <patternFill>
          <bgColor rgb="FFFFFF00"/>
        </patternFill>
      </fill>
    </dxf>
    <dxf>
      <font>
        <color theme="1"/>
      </font>
      <fill>
        <patternFill>
          <bgColor rgb="FFFFFF00"/>
        </patternFill>
      </fill>
    </dxf>
    <dxf>
      <font>
        <color theme="1"/>
      </font>
      <fill>
        <patternFill>
          <bgColor theme="0" tint="-0.24994659260841701"/>
        </patternFill>
      </fill>
    </dxf>
    <dxf>
      <font>
        <color theme="1"/>
      </font>
      <fill>
        <patternFill>
          <bgColor theme="0" tint="-0.24994659260841701"/>
        </patternFill>
      </fill>
    </dxf>
    <dxf>
      <font>
        <color theme="1"/>
      </font>
      <fill>
        <patternFill>
          <bgColor rgb="FFFFFF00"/>
        </patternFill>
      </fill>
    </dxf>
    <dxf>
      <font>
        <color theme="1"/>
      </font>
      <fill>
        <patternFill>
          <bgColor rgb="FF00B0F0"/>
        </patternFill>
      </fill>
    </dxf>
    <dxf>
      <font>
        <color theme="0"/>
      </font>
      <fill>
        <patternFill>
          <bgColor rgb="FFFF0000"/>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0"/>
      </font>
      <fill>
        <patternFill>
          <bgColor rgb="FFFF0000"/>
        </patternFill>
      </fill>
    </dxf>
    <dxf>
      <font>
        <color theme="1"/>
      </font>
      <fill>
        <patternFill>
          <bgColor rgb="FF00B0F0"/>
        </patternFill>
      </fill>
    </dxf>
    <dxf>
      <font>
        <color theme="0" tint="-0.499984740745262"/>
      </font>
      <fill>
        <patternFill>
          <bgColor theme="0" tint="-0.14996795556505021"/>
        </patternFill>
      </fill>
    </dxf>
    <dxf>
      <font>
        <color auto="1"/>
      </font>
      <fill>
        <patternFill>
          <bgColor rgb="FFFFFF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font>
      <fill>
        <patternFill>
          <bgColor rgb="FF0070C0"/>
        </patternFill>
      </fill>
    </dxf>
    <dxf>
      <font>
        <color theme="0"/>
      </font>
      <fill>
        <patternFill>
          <bgColor rgb="FF0070C0"/>
        </patternFill>
      </fill>
    </dxf>
    <dxf>
      <font>
        <color theme="0" tint="-0.499984740745262"/>
      </font>
      <fill>
        <patternFill>
          <bgColor theme="0" tint="-0.14996795556505021"/>
        </patternFill>
      </fill>
    </dxf>
    <dxf>
      <font>
        <color theme="0"/>
      </font>
      <fill>
        <patternFill>
          <bgColor rgb="FF0070C0"/>
        </patternFill>
      </fill>
    </dxf>
    <dxf>
      <font>
        <color theme="1"/>
      </font>
      <fill>
        <patternFill>
          <bgColor rgb="FF0070C0"/>
        </patternFill>
      </fill>
    </dxf>
    <dxf>
      <font>
        <color theme="1"/>
      </font>
      <fill>
        <patternFill>
          <bgColor rgb="FF00B0F0"/>
        </patternFill>
      </fill>
    </dxf>
    <dxf>
      <font>
        <color theme="1"/>
      </font>
      <fill>
        <patternFill>
          <bgColor rgb="FF0070C0"/>
        </patternFill>
      </fill>
    </dxf>
    <dxf>
      <font>
        <color theme="0"/>
      </font>
      <fill>
        <patternFill>
          <bgColor rgb="FF0070C0"/>
        </patternFill>
      </fill>
    </dxf>
    <dxf>
      <font>
        <color theme="0"/>
      </font>
      <fill>
        <patternFill>
          <bgColor rgb="FFFF0000"/>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s>
  <tableStyles count="0" defaultTableStyle="TableStyleMedium2" defaultPivotStyle="PivotStyleLight16"/>
  <colors>
    <mruColors>
      <color rgb="FF0000FF"/>
      <color rgb="FFCCECFF"/>
      <color rgb="FF99CCFF"/>
      <color rgb="FFFFFFCC"/>
      <color rgb="FFFF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219075</xdr:rowOff>
    </xdr:from>
    <xdr:to>
      <xdr:col>4</xdr:col>
      <xdr:colOff>114300</xdr:colOff>
      <xdr:row>2</xdr:row>
      <xdr:rowOff>28575</xdr:rowOff>
    </xdr:to>
    <xdr:pic>
      <xdr:nvPicPr>
        <xdr:cNvPr id="2" name="그림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219075"/>
          <a:ext cx="12192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314324</xdr:colOff>
      <xdr:row>17</xdr:row>
      <xdr:rowOff>133350</xdr:rowOff>
    </xdr:from>
    <xdr:to>
      <xdr:col>22</xdr:col>
      <xdr:colOff>133349</xdr:colOff>
      <xdr:row>18</xdr:row>
      <xdr:rowOff>233548</xdr:rowOff>
    </xdr:to>
    <xdr:pic>
      <xdr:nvPicPr>
        <xdr:cNvPr id="3" name="그림 21" descr="LGCNS.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39074" y="4343400"/>
          <a:ext cx="1304925" cy="347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104776</xdr:colOff>
      <xdr:row>9</xdr:row>
      <xdr:rowOff>33338</xdr:rowOff>
    </xdr:from>
    <xdr:to>
      <xdr:col>22</xdr:col>
      <xdr:colOff>266701</xdr:colOff>
      <xdr:row>9</xdr:row>
      <xdr:rowOff>33338</xdr:rowOff>
    </xdr:to>
    <xdr:sp macro="" textlink="">
      <xdr:nvSpPr>
        <xdr:cNvPr id="4" name="Line 1261">
          <a:extLst>
            <a:ext uri="{FF2B5EF4-FFF2-40B4-BE49-F238E27FC236}">
              <a16:creationId xmlns:a16="http://schemas.microsoft.com/office/drawing/2014/main" id="{00000000-0008-0000-0000-000004000000}"/>
            </a:ext>
          </a:extLst>
        </xdr:cNvPr>
        <xdr:cNvSpPr>
          <a:spLocks noChangeShapeType="1"/>
        </xdr:cNvSpPr>
      </xdr:nvSpPr>
      <xdr:spPr bwMode="auto">
        <a:xfrm>
          <a:off x="476251" y="2262188"/>
          <a:ext cx="8801100" cy="0"/>
        </a:xfrm>
        <a:prstGeom prst="line">
          <a:avLst/>
        </a:prstGeom>
        <a:noFill/>
        <a:ln w="31750">
          <a:solidFill>
            <a:schemeClr val="tx1"/>
          </a:solidFill>
          <a:round/>
          <a:headEnd/>
          <a:tailEnd/>
        </a:ln>
      </xdr:spPr>
      <xdr:txBody>
        <a:bodyPr wrap="square" anchor="ctr"/>
        <a:lstStyle/>
        <a:p>
          <a:endParaRPr lang="ko-KR"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971550</xdr:colOff>
      <xdr:row>0</xdr:row>
      <xdr:rowOff>47625</xdr:rowOff>
    </xdr:from>
    <xdr:to>
      <xdr:col>5</xdr:col>
      <xdr:colOff>971550</xdr:colOff>
      <xdr:row>1</xdr:row>
      <xdr:rowOff>66675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7734300" y="47625"/>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altLang="en-US" sz="1000" b="0" i="0" u="none" strike="noStrike" baseline="0">
              <a:solidFill>
                <a:srgbClr val="000000"/>
              </a:solidFill>
              <a:latin typeface="굴림체"/>
              <a:ea typeface="굴림체"/>
            </a:rPr>
            <a:t>업무기능분해도</a:t>
          </a:r>
        </a:p>
      </xdr:txBody>
    </xdr:sp>
    <xdr:clientData/>
  </xdr:twoCellAnchor>
  <xdr:twoCellAnchor>
    <xdr:from>
      <xdr:col>5</xdr:col>
      <xdr:colOff>971550</xdr:colOff>
      <xdr:row>0</xdr:row>
      <xdr:rowOff>47625</xdr:rowOff>
    </xdr:from>
    <xdr:to>
      <xdr:col>5</xdr:col>
      <xdr:colOff>971550</xdr:colOff>
      <xdr:row>1</xdr:row>
      <xdr:rowOff>66675</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7734300" y="47625"/>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altLang="en-US" sz="1000" b="0" i="0" u="none" strike="noStrike" baseline="0">
              <a:solidFill>
                <a:srgbClr val="000000"/>
              </a:solidFill>
              <a:latin typeface="굴림체"/>
              <a:ea typeface="굴림체"/>
            </a:rPr>
            <a:t>업무기능분해도</a:t>
          </a:r>
        </a:p>
      </xdr:txBody>
    </xdr:sp>
    <xdr:clientData/>
  </xdr:twoCellAnchor>
  <xdr:twoCellAnchor editAs="oneCell">
    <xdr:from>
      <xdr:col>5</xdr:col>
      <xdr:colOff>1228725</xdr:colOff>
      <xdr:row>24</xdr:row>
      <xdr:rowOff>85725</xdr:rowOff>
    </xdr:from>
    <xdr:to>
      <xdr:col>6</xdr:col>
      <xdr:colOff>419100</xdr:colOff>
      <xdr:row>25</xdr:row>
      <xdr:rowOff>28575</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5248275"/>
          <a:ext cx="7143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24</xdr:row>
      <xdr:rowOff>85725</xdr:rowOff>
    </xdr:from>
    <xdr:to>
      <xdr:col>2</xdr:col>
      <xdr:colOff>800099</xdr:colOff>
      <xdr:row>25</xdr:row>
      <xdr:rowOff>180975</xdr:rowOff>
    </xdr:to>
    <xdr:pic>
      <xdr:nvPicPr>
        <xdr:cNvPr id="6" name="그림 5">
          <a:extLst>
            <a:ext uri="{FF2B5EF4-FFF2-40B4-BE49-F238E27FC236}">
              <a16:creationId xmlns:a16="http://schemas.microsoft.com/office/drawing/2014/main" id="{3D5FE791-9F47-46BB-A0AC-E9EA5E9EDE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5419725"/>
          <a:ext cx="1219199"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6"/>
  <sheetViews>
    <sheetView zoomScaleNormal="100" workbookViewId="0">
      <selection activeCell="AB24" sqref="AB24"/>
    </sheetView>
  </sheetViews>
  <sheetFormatPr defaultColWidth="5.375" defaultRowHeight="19.5" customHeight="1"/>
  <cols>
    <col min="1" max="9" width="4.875" style="87" customWidth="1"/>
    <col min="10" max="10" width="6.625" style="87" customWidth="1"/>
    <col min="11" max="11" width="6.5" style="87" customWidth="1"/>
    <col min="12" max="12" width="6.75" style="87" customWidth="1"/>
    <col min="13" max="13" width="10.625" style="87" customWidth="1"/>
    <col min="14" max="24" width="4.875" style="87" customWidth="1"/>
    <col min="25" max="26" width="5.375" style="87"/>
    <col min="27" max="27" width="4.25" style="87" customWidth="1"/>
    <col min="28" max="256" width="5.375" style="87"/>
    <col min="257" max="280" width="4.875" style="87" customWidth="1"/>
    <col min="281" max="282" width="5.375" style="87"/>
    <col min="283" max="283" width="4.25" style="87" customWidth="1"/>
    <col min="284" max="512" width="5.375" style="87"/>
    <col min="513" max="536" width="4.875" style="87" customWidth="1"/>
    <col min="537" max="538" width="5.375" style="87"/>
    <col min="539" max="539" width="4.25" style="87" customWidth="1"/>
    <col min="540" max="768" width="5.375" style="87"/>
    <col min="769" max="792" width="4.875" style="87" customWidth="1"/>
    <col min="793" max="794" width="5.375" style="87"/>
    <col min="795" max="795" width="4.25" style="87" customWidth="1"/>
    <col min="796" max="1024" width="5.375" style="87"/>
    <col min="1025" max="1048" width="4.875" style="87" customWidth="1"/>
    <col min="1049" max="1050" width="5.375" style="87"/>
    <col min="1051" max="1051" width="4.25" style="87" customWidth="1"/>
    <col min="1052" max="1280" width="5.375" style="87"/>
    <col min="1281" max="1304" width="4.875" style="87" customWidth="1"/>
    <col min="1305" max="1306" width="5.375" style="87"/>
    <col min="1307" max="1307" width="4.25" style="87" customWidth="1"/>
    <col min="1308" max="1536" width="5.375" style="87"/>
    <col min="1537" max="1560" width="4.875" style="87" customWidth="1"/>
    <col min="1561" max="1562" width="5.375" style="87"/>
    <col min="1563" max="1563" width="4.25" style="87" customWidth="1"/>
    <col min="1564" max="1792" width="5.375" style="87"/>
    <col min="1793" max="1816" width="4.875" style="87" customWidth="1"/>
    <col min="1817" max="1818" width="5.375" style="87"/>
    <col min="1819" max="1819" width="4.25" style="87" customWidth="1"/>
    <col min="1820" max="2048" width="5.375" style="87"/>
    <col min="2049" max="2072" width="4.875" style="87" customWidth="1"/>
    <col min="2073" max="2074" width="5.375" style="87"/>
    <col min="2075" max="2075" width="4.25" style="87" customWidth="1"/>
    <col min="2076" max="2304" width="5.375" style="87"/>
    <col min="2305" max="2328" width="4.875" style="87" customWidth="1"/>
    <col min="2329" max="2330" width="5.375" style="87"/>
    <col min="2331" max="2331" width="4.25" style="87" customWidth="1"/>
    <col min="2332" max="2560" width="5.375" style="87"/>
    <col min="2561" max="2584" width="4.875" style="87" customWidth="1"/>
    <col min="2585" max="2586" width="5.375" style="87"/>
    <col min="2587" max="2587" width="4.25" style="87" customWidth="1"/>
    <col min="2588" max="2816" width="5.375" style="87"/>
    <col min="2817" max="2840" width="4.875" style="87" customWidth="1"/>
    <col min="2841" max="2842" width="5.375" style="87"/>
    <col min="2843" max="2843" width="4.25" style="87" customWidth="1"/>
    <col min="2844" max="3072" width="5.375" style="87"/>
    <col min="3073" max="3096" width="4.875" style="87" customWidth="1"/>
    <col min="3097" max="3098" width="5.375" style="87"/>
    <col min="3099" max="3099" width="4.25" style="87" customWidth="1"/>
    <col min="3100" max="3328" width="5.375" style="87"/>
    <col min="3329" max="3352" width="4.875" style="87" customWidth="1"/>
    <col min="3353" max="3354" width="5.375" style="87"/>
    <col min="3355" max="3355" width="4.25" style="87" customWidth="1"/>
    <col min="3356" max="3584" width="5.375" style="87"/>
    <col min="3585" max="3608" width="4.875" style="87" customWidth="1"/>
    <col min="3609" max="3610" width="5.375" style="87"/>
    <col min="3611" max="3611" width="4.25" style="87" customWidth="1"/>
    <col min="3612" max="3840" width="5.375" style="87"/>
    <col min="3841" max="3864" width="4.875" style="87" customWidth="1"/>
    <col min="3865" max="3866" width="5.375" style="87"/>
    <col min="3867" max="3867" width="4.25" style="87" customWidth="1"/>
    <col min="3868" max="4096" width="5.375" style="87"/>
    <col min="4097" max="4120" width="4.875" style="87" customWidth="1"/>
    <col min="4121" max="4122" width="5.375" style="87"/>
    <col min="4123" max="4123" width="4.25" style="87" customWidth="1"/>
    <col min="4124" max="4352" width="5.375" style="87"/>
    <col min="4353" max="4376" width="4.875" style="87" customWidth="1"/>
    <col min="4377" max="4378" width="5.375" style="87"/>
    <col min="4379" max="4379" width="4.25" style="87" customWidth="1"/>
    <col min="4380" max="4608" width="5.375" style="87"/>
    <col min="4609" max="4632" width="4.875" style="87" customWidth="1"/>
    <col min="4633" max="4634" width="5.375" style="87"/>
    <col min="4635" max="4635" width="4.25" style="87" customWidth="1"/>
    <col min="4636" max="4864" width="5.375" style="87"/>
    <col min="4865" max="4888" width="4.875" style="87" customWidth="1"/>
    <col min="4889" max="4890" width="5.375" style="87"/>
    <col min="4891" max="4891" width="4.25" style="87" customWidth="1"/>
    <col min="4892" max="5120" width="5.375" style="87"/>
    <col min="5121" max="5144" width="4.875" style="87" customWidth="1"/>
    <col min="5145" max="5146" width="5.375" style="87"/>
    <col min="5147" max="5147" width="4.25" style="87" customWidth="1"/>
    <col min="5148" max="5376" width="5.375" style="87"/>
    <col min="5377" max="5400" width="4.875" style="87" customWidth="1"/>
    <col min="5401" max="5402" width="5.375" style="87"/>
    <col min="5403" max="5403" width="4.25" style="87" customWidth="1"/>
    <col min="5404" max="5632" width="5.375" style="87"/>
    <col min="5633" max="5656" width="4.875" style="87" customWidth="1"/>
    <col min="5657" max="5658" width="5.375" style="87"/>
    <col min="5659" max="5659" width="4.25" style="87" customWidth="1"/>
    <col min="5660" max="5888" width="5.375" style="87"/>
    <col min="5889" max="5912" width="4.875" style="87" customWidth="1"/>
    <col min="5913" max="5914" width="5.375" style="87"/>
    <col min="5915" max="5915" width="4.25" style="87" customWidth="1"/>
    <col min="5916" max="6144" width="5.375" style="87"/>
    <col min="6145" max="6168" width="4.875" style="87" customWidth="1"/>
    <col min="6169" max="6170" width="5.375" style="87"/>
    <col min="6171" max="6171" width="4.25" style="87" customWidth="1"/>
    <col min="6172" max="6400" width="5.375" style="87"/>
    <col min="6401" max="6424" width="4.875" style="87" customWidth="1"/>
    <col min="6425" max="6426" width="5.375" style="87"/>
    <col min="6427" max="6427" width="4.25" style="87" customWidth="1"/>
    <col min="6428" max="6656" width="5.375" style="87"/>
    <col min="6657" max="6680" width="4.875" style="87" customWidth="1"/>
    <col min="6681" max="6682" width="5.375" style="87"/>
    <col min="6683" max="6683" width="4.25" style="87" customWidth="1"/>
    <col min="6684" max="6912" width="5.375" style="87"/>
    <col min="6913" max="6936" width="4.875" style="87" customWidth="1"/>
    <col min="6937" max="6938" width="5.375" style="87"/>
    <col min="6939" max="6939" width="4.25" style="87" customWidth="1"/>
    <col min="6940" max="7168" width="5.375" style="87"/>
    <col min="7169" max="7192" width="4.875" style="87" customWidth="1"/>
    <col min="7193" max="7194" width="5.375" style="87"/>
    <col min="7195" max="7195" width="4.25" style="87" customWidth="1"/>
    <col min="7196" max="7424" width="5.375" style="87"/>
    <col min="7425" max="7448" width="4.875" style="87" customWidth="1"/>
    <col min="7449" max="7450" width="5.375" style="87"/>
    <col min="7451" max="7451" width="4.25" style="87" customWidth="1"/>
    <col min="7452" max="7680" width="5.375" style="87"/>
    <col min="7681" max="7704" width="4.875" style="87" customWidth="1"/>
    <col min="7705" max="7706" width="5.375" style="87"/>
    <col min="7707" max="7707" width="4.25" style="87" customWidth="1"/>
    <col min="7708" max="7936" width="5.375" style="87"/>
    <col min="7937" max="7960" width="4.875" style="87" customWidth="1"/>
    <col min="7961" max="7962" width="5.375" style="87"/>
    <col min="7963" max="7963" width="4.25" style="87" customWidth="1"/>
    <col min="7964" max="8192" width="5.375" style="87"/>
    <col min="8193" max="8216" width="4.875" style="87" customWidth="1"/>
    <col min="8217" max="8218" width="5.375" style="87"/>
    <col min="8219" max="8219" width="4.25" style="87" customWidth="1"/>
    <col min="8220" max="8448" width="5.375" style="87"/>
    <col min="8449" max="8472" width="4.875" style="87" customWidth="1"/>
    <col min="8473" max="8474" width="5.375" style="87"/>
    <col min="8475" max="8475" width="4.25" style="87" customWidth="1"/>
    <col min="8476" max="8704" width="5.375" style="87"/>
    <col min="8705" max="8728" width="4.875" style="87" customWidth="1"/>
    <col min="8729" max="8730" width="5.375" style="87"/>
    <col min="8731" max="8731" width="4.25" style="87" customWidth="1"/>
    <col min="8732" max="8960" width="5.375" style="87"/>
    <col min="8961" max="8984" width="4.875" style="87" customWidth="1"/>
    <col min="8985" max="8986" width="5.375" style="87"/>
    <col min="8987" max="8987" width="4.25" style="87" customWidth="1"/>
    <col min="8988" max="9216" width="5.375" style="87"/>
    <col min="9217" max="9240" width="4.875" style="87" customWidth="1"/>
    <col min="9241" max="9242" width="5.375" style="87"/>
    <col min="9243" max="9243" width="4.25" style="87" customWidth="1"/>
    <col min="9244" max="9472" width="5.375" style="87"/>
    <col min="9473" max="9496" width="4.875" style="87" customWidth="1"/>
    <col min="9497" max="9498" width="5.375" style="87"/>
    <col min="9499" max="9499" width="4.25" style="87" customWidth="1"/>
    <col min="9500" max="9728" width="5.375" style="87"/>
    <col min="9729" max="9752" width="4.875" style="87" customWidth="1"/>
    <col min="9753" max="9754" width="5.375" style="87"/>
    <col min="9755" max="9755" width="4.25" style="87" customWidth="1"/>
    <col min="9756" max="9984" width="5.375" style="87"/>
    <col min="9985" max="10008" width="4.875" style="87" customWidth="1"/>
    <col min="10009" max="10010" width="5.375" style="87"/>
    <col min="10011" max="10011" width="4.25" style="87" customWidth="1"/>
    <col min="10012" max="10240" width="5.375" style="87"/>
    <col min="10241" max="10264" width="4.875" style="87" customWidth="1"/>
    <col min="10265" max="10266" width="5.375" style="87"/>
    <col min="10267" max="10267" width="4.25" style="87" customWidth="1"/>
    <col min="10268" max="10496" width="5.375" style="87"/>
    <col min="10497" max="10520" width="4.875" style="87" customWidth="1"/>
    <col min="10521" max="10522" width="5.375" style="87"/>
    <col min="10523" max="10523" width="4.25" style="87" customWidth="1"/>
    <col min="10524" max="10752" width="5.375" style="87"/>
    <col min="10753" max="10776" width="4.875" style="87" customWidth="1"/>
    <col min="10777" max="10778" width="5.375" style="87"/>
    <col min="10779" max="10779" width="4.25" style="87" customWidth="1"/>
    <col min="10780" max="11008" width="5.375" style="87"/>
    <col min="11009" max="11032" width="4.875" style="87" customWidth="1"/>
    <col min="11033" max="11034" width="5.375" style="87"/>
    <col min="11035" max="11035" width="4.25" style="87" customWidth="1"/>
    <col min="11036" max="11264" width="5.375" style="87"/>
    <col min="11265" max="11288" width="4.875" style="87" customWidth="1"/>
    <col min="11289" max="11290" width="5.375" style="87"/>
    <col min="11291" max="11291" width="4.25" style="87" customWidth="1"/>
    <col min="11292" max="11520" width="5.375" style="87"/>
    <col min="11521" max="11544" width="4.875" style="87" customWidth="1"/>
    <col min="11545" max="11546" width="5.375" style="87"/>
    <col min="11547" max="11547" width="4.25" style="87" customWidth="1"/>
    <col min="11548" max="11776" width="5.375" style="87"/>
    <col min="11777" max="11800" width="4.875" style="87" customWidth="1"/>
    <col min="11801" max="11802" width="5.375" style="87"/>
    <col min="11803" max="11803" width="4.25" style="87" customWidth="1"/>
    <col min="11804" max="12032" width="5.375" style="87"/>
    <col min="12033" max="12056" width="4.875" style="87" customWidth="1"/>
    <col min="12057" max="12058" width="5.375" style="87"/>
    <col min="12059" max="12059" width="4.25" style="87" customWidth="1"/>
    <col min="12060" max="12288" width="5.375" style="87"/>
    <col min="12289" max="12312" width="4.875" style="87" customWidth="1"/>
    <col min="12313" max="12314" width="5.375" style="87"/>
    <col min="12315" max="12315" width="4.25" style="87" customWidth="1"/>
    <col min="12316" max="12544" width="5.375" style="87"/>
    <col min="12545" max="12568" width="4.875" style="87" customWidth="1"/>
    <col min="12569" max="12570" width="5.375" style="87"/>
    <col min="12571" max="12571" width="4.25" style="87" customWidth="1"/>
    <col min="12572" max="12800" width="5.375" style="87"/>
    <col min="12801" max="12824" width="4.875" style="87" customWidth="1"/>
    <col min="12825" max="12826" width="5.375" style="87"/>
    <col min="12827" max="12827" width="4.25" style="87" customWidth="1"/>
    <col min="12828" max="13056" width="5.375" style="87"/>
    <col min="13057" max="13080" width="4.875" style="87" customWidth="1"/>
    <col min="13081" max="13082" width="5.375" style="87"/>
    <col min="13083" max="13083" width="4.25" style="87" customWidth="1"/>
    <col min="13084" max="13312" width="5.375" style="87"/>
    <col min="13313" max="13336" width="4.875" style="87" customWidth="1"/>
    <col min="13337" max="13338" width="5.375" style="87"/>
    <col min="13339" max="13339" width="4.25" style="87" customWidth="1"/>
    <col min="13340" max="13568" width="5.375" style="87"/>
    <col min="13569" max="13592" width="4.875" style="87" customWidth="1"/>
    <col min="13593" max="13594" width="5.375" style="87"/>
    <col min="13595" max="13595" width="4.25" style="87" customWidth="1"/>
    <col min="13596" max="13824" width="5.375" style="87"/>
    <col min="13825" max="13848" width="4.875" style="87" customWidth="1"/>
    <col min="13849" max="13850" width="5.375" style="87"/>
    <col min="13851" max="13851" width="4.25" style="87" customWidth="1"/>
    <col min="13852" max="14080" width="5.375" style="87"/>
    <col min="14081" max="14104" width="4.875" style="87" customWidth="1"/>
    <col min="14105" max="14106" width="5.375" style="87"/>
    <col min="14107" max="14107" width="4.25" style="87" customWidth="1"/>
    <col min="14108" max="14336" width="5.375" style="87"/>
    <col min="14337" max="14360" width="4.875" style="87" customWidth="1"/>
    <col min="14361" max="14362" width="5.375" style="87"/>
    <col min="14363" max="14363" width="4.25" style="87" customWidth="1"/>
    <col min="14364" max="14592" width="5.375" style="87"/>
    <col min="14593" max="14616" width="4.875" style="87" customWidth="1"/>
    <col min="14617" max="14618" width="5.375" style="87"/>
    <col min="14619" max="14619" width="4.25" style="87" customWidth="1"/>
    <col min="14620" max="14848" width="5.375" style="87"/>
    <col min="14849" max="14872" width="4.875" style="87" customWidth="1"/>
    <col min="14873" max="14874" width="5.375" style="87"/>
    <col min="14875" max="14875" width="4.25" style="87" customWidth="1"/>
    <col min="14876" max="15104" width="5.375" style="87"/>
    <col min="15105" max="15128" width="4.875" style="87" customWidth="1"/>
    <col min="15129" max="15130" width="5.375" style="87"/>
    <col min="15131" max="15131" width="4.25" style="87" customWidth="1"/>
    <col min="15132" max="15360" width="5.375" style="87"/>
    <col min="15361" max="15384" width="4.875" style="87" customWidth="1"/>
    <col min="15385" max="15386" width="5.375" style="87"/>
    <col min="15387" max="15387" width="4.25" style="87" customWidth="1"/>
    <col min="15388" max="15616" width="5.375" style="87"/>
    <col min="15617" max="15640" width="4.875" style="87" customWidth="1"/>
    <col min="15641" max="15642" width="5.375" style="87"/>
    <col min="15643" max="15643" width="4.25" style="87" customWidth="1"/>
    <col min="15644" max="15872" width="5.375" style="87"/>
    <col min="15873" max="15896" width="4.875" style="87" customWidth="1"/>
    <col min="15897" max="15898" width="5.375" style="87"/>
    <col min="15899" max="15899" width="4.25" style="87" customWidth="1"/>
    <col min="15900" max="16128" width="5.375" style="87"/>
    <col min="16129" max="16152" width="4.875" style="87" customWidth="1"/>
    <col min="16153" max="16154" width="5.375" style="87"/>
    <col min="16155" max="16155" width="4.25" style="87" customWidth="1"/>
    <col min="16156" max="16384" width="5.375" style="87"/>
  </cols>
  <sheetData>
    <row r="1" spans="1:33" ht="19.5" customHeight="1">
      <c r="A1" s="84"/>
      <c r="B1" s="85"/>
      <c r="C1" s="85"/>
      <c r="D1" s="85"/>
      <c r="E1" s="85"/>
      <c r="F1" s="85"/>
      <c r="G1" s="85"/>
      <c r="H1" s="85"/>
      <c r="I1" s="85"/>
      <c r="J1" s="85"/>
      <c r="K1" s="85"/>
      <c r="L1" s="85"/>
      <c r="M1" s="85"/>
      <c r="N1" s="85"/>
      <c r="O1" s="85"/>
      <c r="P1" s="85"/>
      <c r="Q1" s="85"/>
      <c r="R1" s="85"/>
      <c r="S1" s="85"/>
      <c r="T1" s="85"/>
      <c r="U1" s="85"/>
      <c r="V1" s="85"/>
      <c r="W1" s="85"/>
      <c r="X1" s="86"/>
    </row>
    <row r="2" spans="1:33" ht="19.5" customHeight="1">
      <c r="A2" s="88"/>
      <c r="X2" s="89"/>
    </row>
    <row r="3" spans="1:33" ht="19.5" customHeight="1">
      <c r="A3" s="88"/>
      <c r="X3" s="89"/>
    </row>
    <row r="4" spans="1:33" ht="19.5" customHeight="1">
      <c r="A4" s="88"/>
      <c r="H4" s="370" t="s">
        <v>360</v>
      </c>
      <c r="I4" s="370"/>
      <c r="J4" s="370"/>
      <c r="K4" s="370"/>
      <c r="L4" s="370"/>
      <c r="M4" s="370"/>
      <c r="N4" s="370"/>
      <c r="O4" s="370"/>
      <c r="P4" s="370"/>
      <c r="Q4" s="370"/>
      <c r="R4" s="370"/>
      <c r="S4" s="370"/>
      <c r="T4" s="370"/>
      <c r="U4" s="370"/>
      <c r="V4" s="370"/>
      <c r="W4" s="370"/>
      <c r="X4" s="89"/>
    </row>
    <row r="5" spans="1:33" ht="19.5" customHeight="1">
      <c r="A5" s="88"/>
      <c r="H5" s="370"/>
      <c r="I5" s="370"/>
      <c r="J5" s="370"/>
      <c r="K5" s="370"/>
      <c r="L5" s="370"/>
      <c r="M5" s="370"/>
      <c r="N5" s="370"/>
      <c r="O5" s="370"/>
      <c r="P5" s="370"/>
      <c r="Q5" s="370"/>
      <c r="R5" s="370"/>
      <c r="S5" s="370"/>
      <c r="T5" s="370"/>
      <c r="U5" s="370"/>
      <c r="V5" s="370"/>
      <c r="W5" s="370"/>
      <c r="X5" s="89"/>
    </row>
    <row r="6" spans="1:33" ht="19.5" customHeight="1">
      <c r="A6" s="88"/>
      <c r="X6" s="89"/>
    </row>
    <row r="7" spans="1:33" ht="19.5" customHeight="1">
      <c r="A7" s="90"/>
      <c r="B7" s="91"/>
      <c r="I7" s="92"/>
      <c r="L7" s="93"/>
      <c r="M7" s="93"/>
      <c r="X7" s="89"/>
      <c r="AA7" s="93"/>
    </row>
    <row r="8" spans="1:33" ht="19.5" customHeight="1">
      <c r="A8" s="90"/>
      <c r="B8" s="383" t="s">
        <v>195</v>
      </c>
      <c r="C8" s="383"/>
      <c r="D8" s="383"/>
      <c r="E8" s="383"/>
      <c r="F8" s="383"/>
      <c r="G8" s="383"/>
      <c r="H8" s="383"/>
      <c r="I8" s="383"/>
      <c r="J8" s="383"/>
      <c r="K8" s="383"/>
      <c r="L8" s="383"/>
      <c r="M8" s="383"/>
      <c r="N8" s="383"/>
      <c r="O8" s="383"/>
      <c r="P8" s="383"/>
      <c r="Q8" s="383"/>
      <c r="R8" s="383"/>
      <c r="S8" s="383"/>
      <c r="T8" s="383"/>
      <c r="U8" s="383"/>
      <c r="V8" s="383"/>
      <c r="W8" s="383"/>
      <c r="X8" s="89"/>
      <c r="AA8" s="93"/>
    </row>
    <row r="9" spans="1:33" ht="19.5" customHeight="1">
      <c r="A9" s="90"/>
      <c r="B9" s="383"/>
      <c r="C9" s="383"/>
      <c r="D9" s="383"/>
      <c r="E9" s="383"/>
      <c r="F9" s="383"/>
      <c r="G9" s="383"/>
      <c r="H9" s="383"/>
      <c r="I9" s="383"/>
      <c r="J9" s="383"/>
      <c r="K9" s="383"/>
      <c r="L9" s="383"/>
      <c r="M9" s="383"/>
      <c r="N9" s="383"/>
      <c r="O9" s="383"/>
      <c r="P9" s="383"/>
      <c r="Q9" s="383"/>
      <c r="R9" s="383"/>
      <c r="S9" s="383"/>
      <c r="T9" s="383"/>
      <c r="U9" s="383"/>
      <c r="V9" s="383"/>
      <c r="W9" s="383"/>
      <c r="X9" s="89"/>
      <c r="AA9" s="94"/>
      <c r="AD9" s="96"/>
      <c r="AE9" s="96"/>
      <c r="AF9" s="96"/>
      <c r="AG9" s="93"/>
    </row>
    <row r="10" spans="1:33" ht="19.5" customHeight="1">
      <c r="A10" s="90"/>
      <c r="B10" s="95"/>
      <c r="F10" s="97"/>
      <c r="G10" s="97"/>
      <c r="H10" s="98"/>
      <c r="I10" s="98"/>
      <c r="J10" s="95"/>
      <c r="K10" s="95"/>
      <c r="L10" s="95"/>
      <c r="M10" s="95"/>
      <c r="N10" s="95"/>
      <c r="O10" s="95"/>
      <c r="P10" s="95"/>
      <c r="Q10" s="95"/>
      <c r="R10" s="95"/>
      <c r="S10" s="95"/>
      <c r="T10" s="99"/>
      <c r="X10" s="89"/>
      <c r="Z10" s="100"/>
      <c r="AA10" s="93"/>
    </row>
    <row r="11" spans="1:33" ht="19.5" customHeight="1">
      <c r="A11" s="88"/>
      <c r="B11" s="382" t="str">
        <f ca="1">"문서번호 : " &amp; REPLACE(LEFT(CELL("filename",A1),FIND(".xls",CELL("filename",A1))-1),1,FIND("[",CELL("filename",A1)),"")</f>
        <v>문서번호 : 자화전자템플릿_광학CM_VTask_설비온라인_사전점검 및 현장통합Test_결과서(XML)_v0.1</v>
      </c>
      <c r="C11" s="382"/>
      <c r="D11" s="382"/>
      <c r="E11" s="382"/>
      <c r="F11" s="382"/>
      <c r="G11" s="382"/>
      <c r="H11" s="382"/>
      <c r="I11" s="382"/>
      <c r="J11" s="382"/>
      <c r="K11" s="382"/>
      <c r="L11" s="382"/>
      <c r="M11" s="382"/>
      <c r="N11" s="382"/>
      <c r="O11" s="382"/>
      <c r="P11" s="382"/>
      <c r="Q11" s="382"/>
      <c r="R11" s="382"/>
      <c r="S11" s="382"/>
      <c r="T11" s="382"/>
      <c r="U11" s="382"/>
      <c r="V11" s="382"/>
      <c r="W11" s="382"/>
      <c r="X11" s="89"/>
      <c r="AA11" s="93"/>
    </row>
    <row r="12" spans="1:33" ht="19.5" customHeight="1">
      <c r="A12" s="90"/>
      <c r="F12" s="97"/>
      <c r="G12" s="97"/>
      <c r="H12" s="98"/>
      <c r="I12" s="98"/>
      <c r="J12" s="95"/>
      <c r="K12" s="95"/>
      <c r="L12" s="95"/>
      <c r="M12" s="95"/>
      <c r="N12" s="95"/>
      <c r="O12" s="95"/>
      <c r="P12" s="95"/>
      <c r="Q12" s="95"/>
      <c r="R12" s="95"/>
      <c r="S12" s="95"/>
      <c r="T12" s="99"/>
      <c r="U12" s="371"/>
      <c r="V12" s="371"/>
      <c r="W12" s="371"/>
      <c r="X12" s="89"/>
      <c r="AA12" s="93"/>
    </row>
    <row r="13" spans="1:33" ht="19.5" customHeight="1">
      <c r="A13" s="90"/>
      <c r="F13" s="94"/>
      <c r="G13" s="94"/>
      <c r="H13" s="94"/>
      <c r="I13" s="94"/>
      <c r="J13" s="95"/>
      <c r="K13" s="95"/>
      <c r="L13" s="95"/>
      <c r="M13" s="95"/>
      <c r="N13" s="95"/>
      <c r="O13" s="95"/>
      <c r="P13" s="95"/>
      <c r="Q13" s="95"/>
      <c r="R13" s="95"/>
      <c r="S13" s="95"/>
      <c r="T13" s="99"/>
      <c r="X13" s="89"/>
      <c r="AA13" s="93"/>
    </row>
    <row r="14" spans="1:33" ht="19.5" customHeight="1">
      <c r="A14" s="90"/>
      <c r="F14" s="94"/>
      <c r="G14" s="94"/>
      <c r="H14" s="94"/>
      <c r="I14" s="94"/>
      <c r="J14" s="95"/>
      <c r="K14" s="95"/>
      <c r="L14" s="95"/>
      <c r="M14" s="95"/>
      <c r="N14" s="95"/>
      <c r="O14" s="95"/>
      <c r="P14" s="95"/>
      <c r="Q14" s="95"/>
      <c r="R14" s="95"/>
      <c r="S14" s="95"/>
      <c r="T14" s="99"/>
      <c r="X14" s="89"/>
      <c r="AA14" s="93"/>
    </row>
    <row r="15" spans="1:33" ht="19.5" customHeight="1">
      <c r="A15" s="90"/>
      <c r="F15" s="94"/>
      <c r="G15" s="94"/>
      <c r="H15" s="94"/>
      <c r="I15" s="94"/>
      <c r="J15" s="101"/>
      <c r="K15" s="101"/>
      <c r="L15" s="101"/>
      <c r="M15" s="101"/>
      <c r="N15" s="101"/>
      <c r="O15" s="101"/>
      <c r="P15" s="101"/>
      <c r="Q15" s="101"/>
      <c r="R15" s="101"/>
      <c r="S15" s="101"/>
      <c r="T15" s="102"/>
      <c r="X15" s="89"/>
      <c r="AA15" s="94"/>
      <c r="AD15" s="96"/>
      <c r="AE15" s="96"/>
      <c r="AF15" s="96"/>
      <c r="AG15" s="93"/>
    </row>
    <row r="16" spans="1:33" ht="19.5" customHeight="1">
      <c r="A16" s="90"/>
      <c r="F16" s="94"/>
      <c r="G16" s="94"/>
      <c r="H16" s="94"/>
      <c r="I16" s="94"/>
      <c r="J16" s="101"/>
      <c r="K16" s="101"/>
      <c r="L16" s="101"/>
      <c r="M16" s="101"/>
      <c r="N16" s="101"/>
      <c r="O16" s="101"/>
      <c r="P16" s="101"/>
      <c r="Q16" s="101"/>
      <c r="R16" s="101"/>
      <c r="S16" s="372" t="s">
        <v>111</v>
      </c>
      <c r="T16" s="372"/>
      <c r="U16" s="372"/>
      <c r="V16" s="372"/>
      <c r="W16" s="372"/>
      <c r="X16" s="89"/>
      <c r="AA16" s="94"/>
      <c r="AD16" s="96"/>
      <c r="AE16" s="96"/>
      <c r="AF16" s="96"/>
      <c r="AG16" s="93"/>
    </row>
    <row r="17" spans="1:33" ht="19.5" customHeight="1">
      <c r="A17" s="90"/>
      <c r="F17" s="98"/>
      <c r="G17" s="98"/>
      <c r="H17" s="98"/>
      <c r="I17" s="98"/>
      <c r="J17" s="102"/>
      <c r="K17" s="102"/>
      <c r="L17" s="102"/>
      <c r="M17" s="102"/>
      <c r="N17" s="102"/>
      <c r="O17" s="102"/>
      <c r="P17" s="102"/>
      <c r="Q17" s="102"/>
      <c r="R17" s="102"/>
      <c r="S17" s="102"/>
      <c r="T17" s="102"/>
      <c r="X17" s="89"/>
      <c r="AA17" s="94"/>
      <c r="AD17" s="96"/>
      <c r="AE17" s="96"/>
      <c r="AF17" s="96"/>
      <c r="AG17" s="93"/>
    </row>
    <row r="18" spans="1:33" ht="19.5" customHeight="1" thickBot="1">
      <c r="A18" s="90"/>
      <c r="F18" s="98"/>
      <c r="G18" s="98"/>
      <c r="H18" s="98"/>
      <c r="I18" s="98"/>
      <c r="J18" s="102"/>
      <c r="K18" s="102"/>
      <c r="L18" s="102"/>
      <c r="M18" s="102"/>
      <c r="N18" s="94"/>
      <c r="O18" s="94"/>
      <c r="P18" s="94"/>
      <c r="Q18" s="94"/>
      <c r="R18" s="94"/>
      <c r="S18" s="94"/>
      <c r="T18" s="94"/>
      <c r="U18" s="94"/>
      <c r="V18" s="95"/>
      <c r="X18" s="103"/>
      <c r="Y18" s="96"/>
      <c r="Z18" s="96"/>
      <c r="AA18" s="93"/>
    </row>
    <row r="19" spans="1:33" ht="19.5" customHeight="1">
      <c r="A19" s="90"/>
      <c r="C19" s="373" t="s">
        <v>101</v>
      </c>
      <c r="D19" s="374"/>
      <c r="E19" s="375" t="s">
        <v>102</v>
      </c>
      <c r="F19" s="376"/>
      <c r="G19" s="377"/>
      <c r="H19" s="378" t="s">
        <v>103</v>
      </c>
      <c r="I19" s="374"/>
      <c r="J19" s="379" t="s">
        <v>198</v>
      </c>
      <c r="K19" s="380"/>
      <c r="L19" s="380"/>
      <c r="M19" s="381"/>
      <c r="N19" s="94"/>
      <c r="O19" s="94"/>
      <c r="P19" s="94"/>
      <c r="Q19" s="94"/>
      <c r="R19" s="94"/>
      <c r="S19" s="94"/>
      <c r="T19" s="94"/>
      <c r="X19" s="89"/>
    </row>
    <row r="20" spans="1:33" ht="19.5" customHeight="1">
      <c r="A20" s="90"/>
      <c r="C20" s="398" t="s">
        <v>101</v>
      </c>
      <c r="D20" s="399"/>
      <c r="E20" s="400" t="s">
        <v>102</v>
      </c>
      <c r="F20" s="401"/>
      <c r="G20" s="402"/>
      <c r="H20" s="403" t="s">
        <v>104</v>
      </c>
      <c r="I20" s="399"/>
      <c r="J20" s="386" t="s">
        <v>198</v>
      </c>
      <c r="K20" s="387"/>
      <c r="L20" s="387"/>
      <c r="M20" s="388"/>
      <c r="T20" s="104"/>
      <c r="X20" s="89"/>
    </row>
    <row r="21" spans="1:33" ht="19.5" customHeight="1">
      <c r="A21" s="90"/>
      <c r="C21" s="398" t="s">
        <v>105</v>
      </c>
      <c r="D21" s="399"/>
      <c r="E21" s="400" t="s">
        <v>106</v>
      </c>
      <c r="F21" s="401"/>
      <c r="G21" s="402"/>
      <c r="H21" s="403" t="s">
        <v>107</v>
      </c>
      <c r="I21" s="399"/>
      <c r="J21" s="386" t="s">
        <v>197</v>
      </c>
      <c r="K21" s="387"/>
      <c r="L21" s="387"/>
      <c r="M21" s="388"/>
      <c r="T21" s="104"/>
      <c r="X21" s="89"/>
    </row>
    <row r="22" spans="1:33" ht="19.5" customHeight="1" thickBot="1">
      <c r="A22" s="90"/>
      <c r="C22" s="389" t="s">
        <v>101</v>
      </c>
      <c r="D22" s="390"/>
      <c r="E22" s="391" t="s">
        <v>108</v>
      </c>
      <c r="F22" s="392"/>
      <c r="G22" s="393"/>
      <c r="H22" s="394" t="s">
        <v>109</v>
      </c>
      <c r="I22" s="390"/>
      <c r="J22" s="395" t="s">
        <v>196</v>
      </c>
      <c r="K22" s="396"/>
      <c r="L22" s="396"/>
      <c r="M22" s="397"/>
      <c r="T22" s="104"/>
      <c r="X22" s="89"/>
    </row>
    <row r="23" spans="1:33" ht="19.5" customHeight="1">
      <c r="A23" s="90"/>
      <c r="N23" s="92"/>
      <c r="X23" s="89"/>
    </row>
    <row r="24" spans="1:33" ht="19.5" customHeight="1">
      <c r="A24" s="90"/>
      <c r="G24" s="384" t="s">
        <v>110</v>
      </c>
      <c r="H24" s="385"/>
      <c r="I24" s="385"/>
      <c r="J24" s="385"/>
      <c r="K24" s="385"/>
      <c r="L24" s="385"/>
      <c r="M24" s="385"/>
      <c r="N24" s="385"/>
      <c r="O24" s="385"/>
      <c r="P24" s="385"/>
      <c r="Q24" s="385"/>
      <c r="R24" s="385"/>
      <c r="X24" s="89"/>
    </row>
    <row r="25" spans="1:33" ht="19.5" customHeight="1">
      <c r="A25" s="90"/>
      <c r="G25" s="385"/>
      <c r="H25" s="385"/>
      <c r="I25" s="385"/>
      <c r="J25" s="385"/>
      <c r="K25" s="385"/>
      <c r="L25" s="385"/>
      <c r="M25" s="385"/>
      <c r="N25" s="385"/>
      <c r="O25" s="385"/>
      <c r="P25" s="385"/>
      <c r="Q25" s="385"/>
      <c r="R25" s="385"/>
      <c r="X25" s="89"/>
    </row>
    <row r="26" spans="1:33" ht="19.5" customHeight="1">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7"/>
    </row>
  </sheetData>
  <mergeCells count="22">
    <mergeCell ref="G24:R25"/>
    <mergeCell ref="J20:M20"/>
    <mergeCell ref="C22:D22"/>
    <mergeCell ref="E22:G22"/>
    <mergeCell ref="H22:I22"/>
    <mergeCell ref="J22:M22"/>
    <mergeCell ref="C21:D21"/>
    <mergeCell ref="E21:G21"/>
    <mergeCell ref="H21:I21"/>
    <mergeCell ref="J21:M21"/>
    <mergeCell ref="C20:D20"/>
    <mergeCell ref="E20:G20"/>
    <mergeCell ref="H20:I20"/>
    <mergeCell ref="H4:W5"/>
    <mergeCell ref="U12:W12"/>
    <mergeCell ref="S16:W16"/>
    <mergeCell ref="C19:D19"/>
    <mergeCell ref="E19:G19"/>
    <mergeCell ref="H19:I19"/>
    <mergeCell ref="J19:M19"/>
    <mergeCell ref="B11:W11"/>
    <mergeCell ref="B8:W9"/>
  </mergeCells>
  <phoneticPr fontId="1"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activeCell="E30" sqref="E30"/>
    </sheetView>
  </sheetViews>
  <sheetFormatPr defaultColWidth="10" defaultRowHeight="18" customHeight="1"/>
  <cols>
    <col min="1" max="1" width="3.125" style="64" customWidth="1"/>
    <col min="2" max="2" width="5.375" style="82" customWidth="1"/>
    <col min="3" max="3" width="11.25" style="83" bestFit="1" customWidth="1"/>
    <col min="4" max="4" width="14.375" style="83" customWidth="1"/>
    <col min="5" max="5" width="50.125" style="64" customWidth="1"/>
    <col min="6" max="6" width="20" style="82" customWidth="1"/>
    <col min="7" max="7" width="11" style="82" customWidth="1"/>
    <col min="8" max="8" width="3.125" style="64" customWidth="1"/>
    <col min="9" max="16384" width="10" style="64"/>
  </cols>
  <sheetData>
    <row r="1" spans="1:8" s="44" customFormat="1" ht="17.25" thickBot="1">
      <c r="A1" s="40"/>
      <c r="B1" s="41"/>
      <c r="C1" s="41"/>
      <c r="D1" s="41"/>
      <c r="E1" s="41"/>
      <c r="F1" s="42"/>
      <c r="G1" s="42"/>
      <c r="H1" s="43"/>
    </row>
    <row r="2" spans="1:8" s="47" customFormat="1" ht="21" thickTop="1">
      <c r="A2" s="45"/>
      <c r="B2" s="404"/>
      <c r="C2" s="404"/>
      <c r="D2" s="404"/>
      <c r="E2" s="404"/>
      <c r="F2" s="404"/>
      <c r="G2" s="404"/>
      <c r="H2" s="46"/>
    </row>
    <row r="3" spans="1:8" s="47" customFormat="1" ht="20.25">
      <c r="A3" s="45"/>
      <c r="B3" s="48"/>
      <c r="C3" s="48"/>
      <c r="D3" s="48"/>
      <c r="E3" s="48" t="s">
        <v>93</v>
      </c>
      <c r="F3" s="48"/>
      <c r="G3" s="48"/>
      <c r="H3" s="46"/>
    </row>
    <row r="4" spans="1:8" s="44" customFormat="1" ht="13.5" customHeight="1">
      <c r="A4" s="49"/>
      <c r="B4" s="50"/>
      <c r="C4" s="50"/>
      <c r="D4" s="50"/>
      <c r="E4" s="50"/>
      <c r="F4" s="51"/>
      <c r="G4" s="51"/>
      <c r="H4" s="52"/>
    </row>
    <row r="5" spans="1:8" s="44" customFormat="1" ht="16.5">
      <c r="A5" s="49"/>
      <c r="B5" s="53" t="s">
        <v>94</v>
      </c>
      <c r="C5" s="53" t="s">
        <v>95</v>
      </c>
      <c r="D5" s="54" t="s">
        <v>96</v>
      </c>
      <c r="E5" s="54" t="s">
        <v>97</v>
      </c>
      <c r="F5" s="53" t="s">
        <v>98</v>
      </c>
      <c r="G5" s="55" t="s">
        <v>99</v>
      </c>
      <c r="H5" s="52"/>
    </row>
    <row r="6" spans="1:8" ht="16.5">
      <c r="A6" s="56"/>
      <c r="B6" s="57" t="s">
        <v>145</v>
      </c>
      <c r="C6" s="58">
        <v>46168</v>
      </c>
      <c r="D6" s="59" t="s">
        <v>43</v>
      </c>
      <c r="E6" s="60" t="s">
        <v>100</v>
      </c>
      <c r="F6" s="61" t="s">
        <v>361</v>
      </c>
      <c r="G6" s="62" t="s">
        <v>362</v>
      </c>
      <c r="H6" s="63"/>
    </row>
    <row r="7" spans="1:8" ht="16.5">
      <c r="A7" s="56"/>
      <c r="B7" s="57"/>
      <c r="C7" s="58"/>
      <c r="D7" s="65" t="s">
        <v>43</v>
      </c>
      <c r="E7" s="60"/>
      <c r="F7" s="61"/>
      <c r="G7" s="62"/>
      <c r="H7" s="63"/>
    </row>
    <row r="8" spans="1:8" ht="16.5">
      <c r="A8" s="56"/>
      <c r="B8" s="57"/>
      <c r="C8" s="58"/>
      <c r="D8" s="65"/>
      <c r="E8" s="60"/>
      <c r="F8" s="61"/>
      <c r="G8" s="62"/>
      <c r="H8" s="63"/>
    </row>
    <row r="9" spans="1:8" ht="16.5">
      <c r="A9" s="56"/>
      <c r="B9" s="57"/>
      <c r="C9" s="58"/>
      <c r="D9" s="65"/>
      <c r="E9" s="60"/>
      <c r="F9" s="61"/>
      <c r="G9" s="62"/>
      <c r="H9" s="63"/>
    </row>
    <row r="10" spans="1:8" ht="16.5">
      <c r="A10" s="56"/>
      <c r="B10" s="57"/>
      <c r="C10" s="58"/>
      <c r="D10" s="65"/>
      <c r="E10" s="60"/>
      <c r="F10" s="61"/>
      <c r="G10" s="62"/>
      <c r="H10" s="63"/>
    </row>
    <row r="11" spans="1:8" ht="16.5">
      <c r="A11" s="56"/>
      <c r="B11" s="57"/>
      <c r="C11" s="58"/>
      <c r="D11" s="65"/>
      <c r="E11" s="60"/>
      <c r="F11" s="61"/>
      <c r="G11" s="62"/>
      <c r="H11" s="63"/>
    </row>
    <row r="12" spans="1:8" ht="16.5">
      <c r="A12" s="56"/>
      <c r="B12" s="57"/>
      <c r="C12" s="58"/>
      <c r="D12" s="65"/>
      <c r="E12" s="60"/>
      <c r="F12" s="61"/>
      <c r="G12" s="62"/>
      <c r="H12" s="63"/>
    </row>
    <row r="13" spans="1:8" ht="16.5">
      <c r="A13" s="56"/>
      <c r="B13" s="57"/>
      <c r="C13" s="58"/>
      <c r="D13" s="65"/>
      <c r="E13" s="60"/>
      <c r="F13" s="61"/>
      <c r="G13" s="62"/>
      <c r="H13" s="63"/>
    </row>
    <row r="14" spans="1:8" ht="16.5">
      <c r="A14" s="56"/>
      <c r="B14" s="57"/>
      <c r="C14" s="58"/>
      <c r="D14" s="58"/>
      <c r="E14" s="60"/>
      <c r="F14" s="61"/>
      <c r="G14" s="62"/>
      <c r="H14" s="63"/>
    </row>
    <row r="15" spans="1:8" ht="16.5">
      <c r="A15" s="56"/>
      <c r="B15" s="57"/>
      <c r="C15" s="58"/>
      <c r="D15" s="58"/>
      <c r="E15" s="60"/>
      <c r="F15" s="61"/>
      <c r="G15" s="62"/>
      <c r="H15" s="63"/>
    </row>
    <row r="16" spans="1:8" ht="16.5">
      <c r="A16" s="56"/>
      <c r="B16" s="57"/>
      <c r="C16" s="58"/>
      <c r="D16" s="58"/>
      <c r="E16" s="60"/>
      <c r="F16" s="61"/>
      <c r="G16" s="62"/>
      <c r="H16" s="63"/>
    </row>
    <row r="17" spans="1:8" ht="16.5">
      <c r="A17" s="56"/>
      <c r="B17" s="57"/>
      <c r="C17" s="58"/>
      <c r="D17" s="58"/>
      <c r="E17" s="60"/>
      <c r="F17" s="61"/>
      <c r="G17" s="62"/>
      <c r="H17" s="63"/>
    </row>
    <row r="18" spans="1:8" ht="16.5">
      <c r="A18" s="56"/>
      <c r="B18" s="57"/>
      <c r="C18" s="58"/>
      <c r="D18" s="58"/>
      <c r="E18" s="60"/>
      <c r="F18" s="61"/>
      <c r="G18" s="62"/>
      <c r="H18" s="63"/>
    </row>
    <row r="19" spans="1:8" ht="20.100000000000001" customHeight="1">
      <c r="A19" s="56"/>
      <c r="B19" s="57"/>
      <c r="C19" s="58"/>
      <c r="D19" s="58"/>
      <c r="E19" s="60"/>
      <c r="F19" s="61"/>
      <c r="G19" s="62"/>
      <c r="H19" s="63"/>
    </row>
    <row r="20" spans="1:8" ht="20.100000000000001" customHeight="1">
      <c r="A20" s="56"/>
      <c r="B20" s="57"/>
      <c r="C20" s="58"/>
      <c r="D20" s="58"/>
      <c r="E20" s="60"/>
      <c r="F20" s="61"/>
      <c r="G20" s="62"/>
      <c r="H20" s="63"/>
    </row>
    <row r="21" spans="1:8" ht="20.100000000000001" customHeight="1">
      <c r="A21" s="56"/>
      <c r="B21" s="57"/>
      <c r="C21" s="58"/>
      <c r="D21" s="58"/>
      <c r="E21" s="60"/>
      <c r="F21" s="61"/>
      <c r="G21" s="62"/>
      <c r="H21" s="63"/>
    </row>
    <row r="22" spans="1:8" ht="20.100000000000001" customHeight="1">
      <c r="A22" s="56"/>
      <c r="B22" s="57"/>
      <c r="C22" s="58"/>
      <c r="D22" s="58"/>
      <c r="E22" s="60"/>
      <c r="F22" s="61"/>
      <c r="G22" s="62"/>
      <c r="H22" s="63"/>
    </row>
    <row r="23" spans="1:8" ht="20.100000000000001" customHeight="1" thickBot="1">
      <c r="A23" s="56"/>
      <c r="B23" s="66"/>
      <c r="C23" s="67"/>
      <c r="D23" s="67"/>
      <c r="E23" s="68"/>
      <c r="F23" s="69"/>
      <c r="G23" s="70"/>
      <c r="H23" s="63"/>
    </row>
    <row r="24" spans="1:8" ht="20.100000000000001" customHeight="1" thickBot="1">
      <c r="A24" s="56"/>
      <c r="B24" s="71"/>
      <c r="C24" s="72"/>
      <c r="D24" s="72"/>
      <c r="E24" s="73"/>
      <c r="F24" s="71"/>
      <c r="G24" s="71"/>
      <c r="H24" s="63"/>
    </row>
    <row r="25" spans="1:8" ht="20.100000000000001" customHeight="1" thickTop="1">
      <c r="A25" s="56"/>
      <c r="B25" s="74"/>
      <c r="C25" s="75"/>
      <c r="D25" s="75"/>
      <c r="E25" s="76"/>
      <c r="F25" s="74"/>
      <c r="G25" s="74"/>
      <c r="H25" s="63"/>
    </row>
    <row r="26" spans="1:8" ht="20.100000000000001" customHeight="1">
      <c r="A26" s="77"/>
      <c r="B26" s="78"/>
      <c r="C26" s="79"/>
      <c r="D26" s="79"/>
      <c r="E26" s="80"/>
      <c r="F26" s="78"/>
      <c r="G26" s="78"/>
      <c r="H26" s="81"/>
    </row>
  </sheetData>
  <mergeCells count="1">
    <mergeCell ref="B2:G2"/>
  </mergeCells>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7"/>
  <sheetViews>
    <sheetView showGridLines="0" topLeftCell="B37" zoomScaleNormal="100" workbookViewId="0">
      <selection activeCell="N49" sqref="N49:O49"/>
    </sheetView>
  </sheetViews>
  <sheetFormatPr defaultColWidth="10" defaultRowHeight="13.5"/>
  <cols>
    <col min="1" max="1" width="1.5" style="2" customWidth="1"/>
    <col min="2" max="2" width="17.625" style="2" bestFit="1" customWidth="1"/>
    <col min="3" max="3" width="17.625" style="2" customWidth="1"/>
    <col min="4" max="4" width="19.875" style="1" customWidth="1"/>
    <col min="5" max="5" width="7" style="1" bestFit="1" customWidth="1"/>
    <col min="6" max="7" width="10.25" style="1" bestFit="1" customWidth="1"/>
    <col min="8" max="8" width="18.5" style="1" customWidth="1"/>
    <col min="9" max="9" width="9.625" style="1" bestFit="1" customWidth="1"/>
    <col min="10" max="10" width="7" style="1" bestFit="1" customWidth="1"/>
    <col min="11" max="11" width="8.75" style="2" customWidth="1"/>
    <col min="12" max="12" width="6.125" style="1" customWidth="1"/>
    <col min="13" max="13" width="7.625" style="2" bestFit="1" customWidth="1"/>
    <col min="14" max="14" width="5.875" style="1" bestFit="1" customWidth="1"/>
    <col min="15" max="15" width="7.625" style="2" bestFit="1" customWidth="1"/>
    <col min="16" max="16" width="42.25" style="2" customWidth="1"/>
    <col min="17" max="17" width="1.875" style="2" customWidth="1"/>
    <col min="18" max="18" width="8.625" style="2" bestFit="1" customWidth="1"/>
    <col min="19" max="19" width="13.875" style="2" bestFit="1" customWidth="1"/>
    <col min="20" max="20" width="10.125" style="2" bestFit="1" customWidth="1"/>
    <col min="21" max="21" width="6.125" style="2" bestFit="1" customWidth="1"/>
    <col min="22" max="16384" width="10" style="2"/>
  </cols>
  <sheetData>
    <row r="1" spans="1:20" ht="26.25">
      <c r="A1" s="7" t="s">
        <v>112</v>
      </c>
      <c r="B1" s="7"/>
      <c r="C1" s="7"/>
      <c r="D1" s="418"/>
      <c r="E1" s="418"/>
      <c r="F1" s="418"/>
      <c r="G1" s="418"/>
      <c r="H1" s="418"/>
      <c r="I1" s="418"/>
      <c r="J1" s="418"/>
      <c r="K1" s="418"/>
      <c r="L1" s="418"/>
      <c r="M1" s="418"/>
      <c r="N1" s="418"/>
      <c r="O1" s="418"/>
      <c r="P1" s="418"/>
      <c r="Q1" s="3"/>
      <c r="R1" s="3"/>
      <c r="S1" s="3"/>
      <c r="T1" s="3"/>
    </row>
    <row r="2" spans="1:20" ht="9.75" customHeight="1" thickBot="1">
      <c r="B2" s="4"/>
      <c r="C2" s="4"/>
      <c r="D2" s="5"/>
      <c r="E2" s="6"/>
      <c r="F2" s="2"/>
      <c r="G2" s="2"/>
      <c r="H2" s="2"/>
      <c r="I2" s="2"/>
      <c r="J2" s="2"/>
      <c r="L2" s="2"/>
      <c r="N2" s="2"/>
    </row>
    <row r="3" spans="1:20" s="8" customFormat="1" ht="24" customHeight="1" thickBot="1">
      <c r="B3" s="20" t="s">
        <v>81</v>
      </c>
      <c r="C3" s="19">
        <v>44868</v>
      </c>
      <c r="D3" s="145"/>
      <c r="E3" s="416"/>
      <c r="F3" s="416"/>
      <c r="G3" s="416"/>
      <c r="H3" s="416"/>
      <c r="I3" s="416"/>
      <c r="J3" s="416"/>
      <c r="K3" s="416"/>
      <c r="L3" s="416"/>
      <c r="M3" s="416"/>
      <c r="N3" s="416"/>
      <c r="O3" s="416"/>
      <c r="P3" s="416"/>
    </row>
    <row r="4" spans="1:20" s="8" customFormat="1" ht="6" customHeight="1" thickBot="1">
      <c r="B4" s="417"/>
      <c r="C4" s="417"/>
      <c r="D4" s="417"/>
      <c r="E4" s="417"/>
      <c r="F4" s="417"/>
      <c r="G4" s="417"/>
      <c r="H4" s="417"/>
      <c r="I4" s="417"/>
      <c r="J4" s="417"/>
      <c r="K4" s="417"/>
      <c r="L4" s="417"/>
      <c r="M4" s="417"/>
      <c r="N4" s="417"/>
      <c r="O4" s="417"/>
      <c r="P4" s="417"/>
    </row>
    <row r="5" spans="1:20" s="9" customFormat="1" ht="18" customHeight="1" thickBot="1">
      <c r="B5" s="442" t="s">
        <v>56</v>
      </c>
      <c r="C5" s="442" t="s">
        <v>164</v>
      </c>
      <c r="D5" s="428" t="s">
        <v>57</v>
      </c>
      <c r="E5" s="429"/>
      <c r="F5" s="429"/>
      <c r="G5" s="430"/>
      <c r="H5" s="456" t="s">
        <v>58</v>
      </c>
      <c r="I5" s="457"/>
      <c r="J5" s="457"/>
      <c r="K5" s="457"/>
      <c r="L5" s="457"/>
      <c r="M5" s="457"/>
      <c r="N5" s="457"/>
      <c r="O5" s="458"/>
      <c r="P5" s="130" t="s">
        <v>59</v>
      </c>
    </row>
    <row r="6" spans="1:20" s="9" customFormat="1" ht="17.25" customHeight="1">
      <c r="B6" s="443"/>
      <c r="C6" s="443"/>
      <c r="D6" s="436" t="s">
        <v>60</v>
      </c>
      <c r="E6" s="467" t="s">
        <v>61</v>
      </c>
      <c r="F6" s="467" t="s">
        <v>62</v>
      </c>
      <c r="G6" s="469" t="s">
        <v>63</v>
      </c>
      <c r="H6" s="471" t="s">
        <v>64</v>
      </c>
      <c r="I6" s="445" t="s">
        <v>65</v>
      </c>
      <c r="J6" s="438" t="s">
        <v>61</v>
      </c>
      <c r="K6" s="439"/>
      <c r="L6" s="440" t="s">
        <v>62</v>
      </c>
      <c r="M6" s="441"/>
      <c r="N6" s="431" t="s">
        <v>63</v>
      </c>
      <c r="O6" s="432"/>
      <c r="P6" s="131"/>
    </row>
    <row r="7" spans="1:20" s="9" customFormat="1" ht="18" thickBot="1">
      <c r="B7" s="443"/>
      <c r="C7" s="443"/>
      <c r="D7" s="437"/>
      <c r="E7" s="468"/>
      <c r="F7" s="468"/>
      <c r="G7" s="470"/>
      <c r="H7" s="472"/>
      <c r="I7" s="446"/>
      <c r="J7" s="188" t="s">
        <v>66</v>
      </c>
      <c r="K7" s="174" t="s">
        <v>67</v>
      </c>
      <c r="L7" s="175" t="s">
        <v>66</v>
      </c>
      <c r="M7" s="172" t="s">
        <v>67</v>
      </c>
      <c r="N7" s="172" t="s">
        <v>66</v>
      </c>
      <c r="O7" s="173" t="s">
        <v>68</v>
      </c>
      <c r="P7" s="131"/>
    </row>
    <row r="8" spans="1:20" s="8" customFormat="1" ht="17.25">
      <c r="B8" s="442" t="s">
        <v>71</v>
      </c>
      <c r="C8" s="171" t="s">
        <v>185</v>
      </c>
      <c r="D8" s="176">
        <f>COUNTIFS('01) 메세지 테스트'!$L$5:$L$133,'Test 결과 종합'!$C$3)</f>
        <v>0</v>
      </c>
      <c r="E8" s="177">
        <f>COUNTIFS('01) 메세지 테스트'!$L$5:$L$133,'Test 결과 종합'!$C$3,'01) 메세지 테스트'!$M$5:$M$133,'Test 결과 종합'!E$6)</f>
        <v>0</v>
      </c>
      <c r="F8" s="177">
        <f>COUNTIFS('01) 메세지 테스트'!$L$5:$L$133,'Test 결과 종합'!$C$3,'01) 메세지 테스트'!$M$5:$M$133,'Test 결과 종합'!F$6)</f>
        <v>0</v>
      </c>
      <c r="G8" s="177">
        <f>COUNTIFS('01) 메세지 테스트'!$L$5:$L$133,'Test 결과 종합'!$C$3,'01) 메세지 테스트'!$M$5:$M$133,'Test 결과 종합'!G$6)</f>
        <v>0</v>
      </c>
      <c r="H8" s="179">
        <f>MAX('01) 메세지 테스트'!$B$5:$B$133)-COUNTIF('01) 메세지 테스트'!M5:M133,"N/A")</f>
        <v>34</v>
      </c>
      <c r="I8" s="180">
        <f t="shared" ref="I8:I19" si="0">K8</f>
        <v>0</v>
      </c>
      <c r="J8" s="181">
        <f>COUNTIFS('01) 메세지 테스트'!$M$5:$M$133,'Test 결과 종합'!J$6)</f>
        <v>0</v>
      </c>
      <c r="K8" s="182">
        <f>IF(J8=0,0,J8/H8)</f>
        <v>0</v>
      </c>
      <c r="L8" s="183">
        <f>COUNTIFS('01) 메세지 테스트'!$M$5:$M$133,'Test 결과 종합'!L$6)</f>
        <v>0</v>
      </c>
      <c r="M8" s="184">
        <f>IF(L8=0,0,L8/H8)</f>
        <v>0</v>
      </c>
      <c r="N8" s="183">
        <f>COUNTIFS('01) 메세지 테스트'!$M$5:$M$133,'Test 결과 종합'!N$6)</f>
        <v>0</v>
      </c>
      <c r="O8" s="185">
        <f>IF(N8=0,0,N8/H8)</f>
        <v>0</v>
      </c>
      <c r="P8" s="186"/>
      <c r="T8" s="9"/>
    </row>
    <row r="9" spans="1:20" s="8" customFormat="1" ht="17.25">
      <c r="B9" s="443"/>
      <c r="C9" s="144" t="s">
        <v>186</v>
      </c>
      <c r="D9" s="155">
        <f>COUNTIFS('01) 메세지 테스트'!$P$5:$P$133,'Test 결과 종합'!$C$3)</f>
        <v>0</v>
      </c>
      <c r="E9" s="33">
        <f>COUNTIFS('01) 메세지 테스트'!$P$5:$P$133,'Test 결과 종합'!$C$3,'01) 메세지 테스트'!$Q$5:$Q$133,'Test 결과 종합'!E$6)</f>
        <v>0</v>
      </c>
      <c r="F9" s="33">
        <f>COUNTIFS('01) 메세지 테스트'!$P$5:$P$133,'Test 결과 종합'!$C$3,'01) 메세지 테스트'!$Q$5:$Q$133,'Test 결과 종합'!F$6)</f>
        <v>0</v>
      </c>
      <c r="G9" s="33">
        <f>COUNTIFS('01) 메세지 테스트'!$P$5:$P$133,'Test 결과 종합'!$C$3,'01) 메세지 테스트'!$Q$5:$Q$133,'Test 결과 종합'!G$6)</f>
        <v>0</v>
      </c>
      <c r="H9" s="25">
        <f>MAX('01) 메세지 테스트'!$B$5:$B$133)-COUNTIF('01) 메세지 테스트'!Q5:Q133,"N/A")</f>
        <v>34</v>
      </c>
      <c r="I9" s="31">
        <f t="shared" si="0"/>
        <v>0</v>
      </c>
      <c r="J9" s="35">
        <f>COUNTIFS('01) 메세지 테스트'!$Q$5:$Q$133,'Test 결과 종합'!J$6)</f>
        <v>0</v>
      </c>
      <c r="K9" s="36">
        <f t="shared" ref="K9:K14" si="1">IF(J9=0,0,J9/H9)</f>
        <v>0</v>
      </c>
      <c r="L9" s="33">
        <f>COUNTIFS('01) 메세지 테스트'!$Q$5:$Q$133,'Test 결과 종합'!L$6)</f>
        <v>0</v>
      </c>
      <c r="M9" s="12">
        <f t="shared" ref="M9:M14" si="2">IF(L9=0,0,L9/H9)</f>
        <v>0</v>
      </c>
      <c r="N9" s="33">
        <f>COUNTIFS('01) 메세지 테스트'!$Q$5:$Q$133,'Test 결과 종합'!N$6)</f>
        <v>0</v>
      </c>
      <c r="O9" s="26">
        <f t="shared" ref="O9:O14" si="3">IF(N9=0,0,N9/H9)</f>
        <v>0</v>
      </c>
      <c r="P9" s="23"/>
    </row>
    <row r="10" spans="1:20" s="8" customFormat="1" ht="17.25">
      <c r="B10" s="443"/>
      <c r="C10" s="144" t="s">
        <v>187</v>
      </c>
      <c r="D10" s="10">
        <f>COUNTIFS('01) 메세지 테스트'!$T$5:$T$133,'Test 결과 종합'!$C$3)</f>
        <v>0</v>
      </c>
      <c r="E10" s="33">
        <f>COUNTIFS('01) 메세지 테스트'!$T$5:$T$133,'Test 결과 종합'!$C$3,'01) 메세지 테스트'!$U$5:$U$133,'Test 결과 종합'!E$6)</f>
        <v>0</v>
      </c>
      <c r="F10" s="33">
        <f>COUNTIFS('01) 메세지 테스트'!$T$5:$T$133,'Test 결과 종합'!$C$3,'01) 메세지 테스트'!$U$5:$U$133,'Test 결과 종합'!F$6)</f>
        <v>0</v>
      </c>
      <c r="G10" s="33">
        <f>COUNTIFS('01) 메세지 테스트'!$T$5:$T$133,'Test 결과 종합'!$C$3,'01) 메세지 테스트'!$U$5:$U$133,'Test 결과 종합'!G$6)</f>
        <v>0</v>
      </c>
      <c r="H10" s="25">
        <f>MAX('01) 메세지 테스트'!$B$5:$B$133)-COUNTIF('01) 메세지 테스트'!U5:U133,"N/A")</f>
        <v>34</v>
      </c>
      <c r="I10" s="31">
        <f t="shared" si="0"/>
        <v>0</v>
      </c>
      <c r="J10" s="35">
        <f>COUNTIFS('01) 메세지 테스트'!$U$5:$U$133,'Test 결과 종합'!J$6)</f>
        <v>0</v>
      </c>
      <c r="K10" s="36">
        <f t="shared" si="1"/>
        <v>0</v>
      </c>
      <c r="L10" s="33">
        <f>COUNTIFS('01) 메세지 테스트'!$U$5:$U$133,'Test 결과 종합'!L$6)</f>
        <v>0</v>
      </c>
      <c r="M10" s="12">
        <f t="shared" si="2"/>
        <v>0</v>
      </c>
      <c r="N10" s="33">
        <f>COUNTIFS('01) 메세지 테스트'!$U$5:$U$133,'Test 결과 종합'!N$6)</f>
        <v>0</v>
      </c>
      <c r="O10" s="26">
        <f t="shared" si="3"/>
        <v>0</v>
      </c>
      <c r="P10" s="23"/>
    </row>
    <row r="11" spans="1:20" s="8" customFormat="1" ht="17.25">
      <c r="B11" s="443"/>
      <c r="C11" s="144" t="s">
        <v>188</v>
      </c>
      <c r="D11" s="10">
        <f>COUNTIFS('01) 메세지 테스트'!$X$5:$X$133,'Test 결과 종합'!$C$3)</f>
        <v>0</v>
      </c>
      <c r="E11" s="33">
        <f>COUNTIFS('01) 메세지 테스트'!$X$5:$X$133,'Test 결과 종합'!$C$3,'01) 메세지 테스트'!$Y$5:$Y$133,'Test 결과 종합'!E$6)</f>
        <v>0</v>
      </c>
      <c r="F11" s="33">
        <f>COUNTIFS('01) 메세지 테스트'!$X$5:$X$133,'Test 결과 종합'!$C$3,'01) 메세지 테스트'!$Y$5:$Y$133,'Test 결과 종합'!F$6)</f>
        <v>0</v>
      </c>
      <c r="G11" s="33">
        <f>COUNTIFS('01) 메세지 테스트'!$X$5:$X$133,'Test 결과 종합'!$C$3,'01) 메세지 테스트'!$Y$5:$Y$133,'Test 결과 종합'!G$6)</f>
        <v>0</v>
      </c>
      <c r="H11" s="25">
        <f>MAX('01) 메세지 테스트'!$B$5:$B$133)-COUNTIF('01) 메세지 테스트'!Y5:Y133,"N/A")</f>
        <v>34</v>
      </c>
      <c r="I11" s="31">
        <f t="shared" si="0"/>
        <v>0</v>
      </c>
      <c r="J11" s="35">
        <f>COUNTIFS('01) 메세지 테스트'!$Y$5:$Y$133,'Test 결과 종합'!J$6)</f>
        <v>0</v>
      </c>
      <c r="K11" s="36">
        <f t="shared" si="1"/>
        <v>0</v>
      </c>
      <c r="L11" s="33">
        <f>COUNTIFS('01) 메세지 테스트'!$Y$5:$Y$133,'Test 결과 종합'!L$6)</f>
        <v>0</v>
      </c>
      <c r="M11" s="12">
        <f t="shared" si="2"/>
        <v>0</v>
      </c>
      <c r="N11" s="33">
        <f>COUNTIFS('01) 메세지 테스트'!$Y$5:$Y$133,'Test 결과 종합'!N$6)</f>
        <v>0</v>
      </c>
      <c r="O11" s="26">
        <f t="shared" si="3"/>
        <v>0</v>
      </c>
      <c r="P11" s="23"/>
    </row>
    <row r="12" spans="1:20" s="8" customFormat="1" ht="17.25">
      <c r="B12" s="443"/>
      <c r="C12" s="144" t="s">
        <v>189</v>
      </c>
      <c r="D12" s="10">
        <f>COUNTIFS('01) 메세지 테스트'!$AB$5:$AB$133,'Test 결과 종합'!$C$3)</f>
        <v>0</v>
      </c>
      <c r="E12" s="33">
        <f>COUNTIFS('01) 메세지 테스트'!$AB$5:$AB$133,'Test 결과 종합'!$C$3,'01) 메세지 테스트'!$AC$5:$AC$133,'Test 결과 종합'!E$6)</f>
        <v>0</v>
      </c>
      <c r="F12" s="33">
        <f>COUNTIFS('01) 메세지 테스트'!$AB$5:$AB$133,'Test 결과 종합'!$C$3,'01) 메세지 테스트'!$AC$5:$AC$133,'Test 결과 종합'!F$6)</f>
        <v>0</v>
      </c>
      <c r="G12" s="33">
        <f>COUNTIFS('01) 메세지 테스트'!$AB$5:$AB$133,'Test 결과 종합'!$C$3,'01) 메세지 테스트'!$AC$5:$AC$133,'Test 결과 종합'!G$6)</f>
        <v>0</v>
      </c>
      <c r="H12" s="25">
        <f>MAX('01) 메세지 테스트'!$B$5:$B$133)-COUNTIF('01) 메세지 테스트'!AC5:AC133,"N/A")</f>
        <v>34</v>
      </c>
      <c r="I12" s="31">
        <f t="shared" si="0"/>
        <v>0</v>
      </c>
      <c r="J12" s="35">
        <f>COUNTIFS('01) 메세지 테스트'!$AC$5:$AC$133,'Test 결과 종합'!J$6)</f>
        <v>0</v>
      </c>
      <c r="K12" s="36">
        <f t="shared" ref="K12:K13" si="4">IF(J12=0,0,J12/H12)</f>
        <v>0</v>
      </c>
      <c r="L12" s="33">
        <f>COUNTIFS('01) 메세지 테스트'!$AC$5:$AC$133,'Test 결과 종합'!L$6)</f>
        <v>0</v>
      </c>
      <c r="M12" s="12">
        <f t="shared" ref="M12:M13" si="5">IF(L12=0,0,L12/H12)</f>
        <v>0</v>
      </c>
      <c r="N12" s="33">
        <f>COUNTIFS('01) 메세지 테스트'!$AC$5:$AC$133,'Test 결과 종합'!N$6)</f>
        <v>0</v>
      </c>
      <c r="O12" s="26">
        <f t="shared" ref="O12:O13" si="6">IF(N12=0,0,N12/H12)</f>
        <v>0</v>
      </c>
      <c r="P12" s="23"/>
    </row>
    <row r="13" spans="1:20" s="8" customFormat="1" ht="17.25">
      <c r="B13" s="443"/>
      <c r="C13" s="144" t="s">
        <v>190</v>
      </c>
      <c r="D13" s="10">
        <f>COUNTIFS('01) 메세지 테스트'!$AF$5:$AF$133,'Test 결과 종합'!$C$3)</f>
        <v>0</v>
      </c>
      <c r="E13" s="33">
        <f>COUNTIFS('01) 메세지 테스트'!$AF$5:$AF$133,'Test 결과 종합'!$C$3,'01) 메세지 테스트'!$AG$5:$AG$133,'Test 결과 종합'!E$6)</f>
        <v>0</v>
      </c>
      <c r="F13" s="33">
        <f>COUNTIFS('01) 메세지 테스트'!$AF$5:$AF$133,'Test 결과 종합'!$C$3,'01) 메세지 테스트'!$AG$5:$AG$133,'Test 결과 종합'!F$6)</f>
        <v>0</v>
      </c>
      <c r="G13" s="33">
        <f>COUNTIFS('01) 메세지 테스트'!$AF$5:$AF$133,'Test 결과 종합'!$C$3,'01) 메세지 테스트'!$AG$5:$AG$133,'Test 결과 종합'!G$6)</f>
        <v>0</v>
      </c>
      <c r="H13" s="25">
        <f>MAX('01) 메세지 테스트'!$B$5:$B$133)-COUNTIF('01) 메세지 테스트'!AG5:AG133,"N/A")</f>
        <v>34</v>
      </c>
      <c r="I13" s="31">
        <f t="shared" si="0"/>
        <v>0</v>
      </c>
      <c r="J13" s="35">
        <f>COUNTIFS('01) 메세지 테스트'!$AG$5:$AG$133,'Test 결과 종합'!J$6)</f>
        <v>0</v>
      </c>
      <c r="K13" s="36">
        <f t="shared" si="4"/>
        <v>0</v>
      </c>
      <c r="L13" s="33">
        <f>COUNTIFS('01) 메세지 테스트'!$AG$5:$AG$133,'Test 결과 종합'!L$6)</f>
        <v>0</v>
      </c>
      <c r="M13" s="12">
        <f t="shared" si="5"/>
        <v>0</v>
      </c>
      <c r="N13" s="33">
        <f>COUNTIFS('01) 메세지 테스트'!$AG$5:$AG$133,'Test 결과 종합'!N$6)</f>
        <v>0</v>
      </c>
      <c r="O13" s="26">
        <f t="shared" si="6"/>
        <v>0</v>
      </c>
      <c r="P13" s="23"/>
    </row>
    <row r="14" spans="1:20" s="8" customFormat="1" ht="18" thickBot="1">
      <c r="B14" s="447"/>
      <c r="C14" s="143" t="s">
        <v>191</v>
      </c>
      <c r="D14" s="147">
        <f>COUNTIFS('01) 메세지 테스트'!$AJ$5:$AJ$133,'Test 결과 종합'!$C$3)</f>
        <v>0</v>
      </c>
      <c r="E14" s="152">
        <f>COUNTIFS('01) 메세지 테스트'!$AJ$5:$AJ$133,'Test 결과 종합'!$C$3,'01) 메세지 테스트'!$AK$5:$AK$133,'Test 결과 종합'!E$6)</f>
        <v>0</v>
      </c>
      <c r="F14" s="152">
        <f>COUNTIFS('01) 메세지 테스트'!$AJ$5:$AJ$133,'Test 결과 종합'!$C$3,'01) 메세지 테스트'!$AK$5:$AK$133,'Test 결과 종합'!F$6)</f>
        <v>0</v>
      </c>
      <c r="G14" s="152">
        <f>COUNTIFS('01) 메세지 테스트'!$AJ$5:$AJ$133,'Test 결과 종합'!$C$3,'01) 메세지 테스트'!$AK$5:$AK$133,'Test 결과 종합'!G$6)</f>
        <v>0</v>
      </c>
      <c r="H14" s="156">
        <f>MAX('01) 메세지 테스트'!$B$5:$B$133)-COUNTIF('01) 메세지 테스트'!AK5:AK133,"N/A")</f>
        <v>34</v>
      </c>
      <c r="I14" s="149">
        <f t="shared" si="0"/>
        <v>0</v>
      </c>
      <c r="J14" s="150">
        <f>COUNTIFS('01) 메세지 테스트'!$AK$5:$AK$133,'Test 결과 종합'!J$6)</f>
        <v>0</v>
      </c>
      <c r="K14" s="151">
        <f t="shared" si="1"/>
        <v>0</v>
      </c>
      <c r="L14" s="152">
        <f>COUNTIFS('01) 메세지 테스트'!$AK$5:$AK$133,'Test 결과 종합'!L$6)</f>
        <v>0</v>
      </c>
      <c r="M14" s="153">
        <f t="shared" si="2"/>
        <v>0</v>
      </c>
      <c r="N14" s="152">
        <f>COUNTIFS('01) 메세지 테스트'!$AK$5:$AK$133,'Test 결과 종합'!N$6)</f>
        <v>0</v>
      </c>
      <c r="O14" s="154">
        <f t="shared" si="3"/>
        <v>0</v>
      </c>
      <c r="P14" s="157"/>
    </row>
    <row r="15" spans="1:20" s="8" customFormat="1" ht="17.25">
      <c r="B15" s="442" t="s">
        <v>72</v>
      </c>
      <c r="C15" s="171" t="s">
        <v>185</v>
      </c>
      <c r="D15" s="176">
        <f>COUNTIFS('02) 시나리오 테스트'!$N$5:$N$67,'Test 결과 종합'!$C$3)</f>
        <v>0</v>
      </c>
      <c r="E15" s="177">
        <f>COUNTIFS('02) 시나리오 테스트'!$N$5:$N$67,'Test 결과 종합'!$C$3,'02) 시나리오 테스트'!$O$5:$O$67,'Test 결과 종합'!E$6)</f>
        <v>0</v>
      </c>
      <c r="F15" s="177">
        <f>COUNTIFS('02) 시나리오 테스트'!$N$5:$N$67,'Test 결과 종합'!$C$3,'02) 시나리오 테스트'!$O$5:$O$67,'Test 결과 종합'!F$6)</f>
        <v>0</v>
      </c>
      <c r="G15" s="178">
        <f>COUNTIFS('02) 시나리오 테스트'!$N$5:$N$67,'Test 결과 종합'!$D$3,'02) 시나리오 테스트'!$O$5:$O$67,'Test 결과 종합'!G$6)</f>
        <v>0</v>
      </c>
      <c r="H15" s="179">
        <f>MAX('02) 시나리오 테스트'!$B$5:$B$67)-COUNTIF('02) 시나리오 테스트'!O5:O64,"N/A")</f>
        <v>22</v>
      </c>
      <c r="I15" s="180">
        <f t="shared" si="0"/>
        <v>0</v>
      </c>
      <c r="J15" s="181">
        <f>COUNTIFS('02) 시나리오 테스트'!$O$5:$O$67,'Test 결과 종합'!J$6)</f>
        <v>0</v>
      </c>
      <c r="K15" s="182">
        <f>IF(J15=0,0,J15/H15)</f>
        <v>0</v>
      </c>
      <c r="L15" s="183">
        <f>COUNTIFS('02) 시나리오 테스트'!$O$5:$O$67,'Test 결과 종합'!L$6)</f>
        <v>0</v>
      </c>
      <c r="M15" s="184">
        <f>IF(L15=0,0,L15/H15)</f>
        <v>0</v>
      </c>
      <c r="N15" s="183">
        <f>COUNTIFS('02) 시나리오 테스트'!$O$5:$O$67,'Test 결과 종합'!N$6)</f>
        <v>0</v>
      </c>
      <c r="O15" s="185">
        <f>IF(N15=0,0,N15/H15)</f>
        <v>0</v>
      </c>
      <c r="P15" s="186"/>
    </row>
    <row r="16" spans="1:20" s="8" customFormat="1" ht="17.25">
      <c r="B16" s="443"/>
      <c r="C16" s="144" t="s">
        <v>186</v>
      </c>
      <c r="D16" s="10">
        <f>COUNTIFS('02) 시나리오 테스트'!$Q$5:$Q$67,'Test 결과 종합'!$C$3)</f>
        <v>0</v>
      </c>
      <c r="E16" s="11">
        <f>COUNTIFS('02) 시나리오 테스트'!$Q$5:$Q$67,'Test 결과 종합'!$C$3,'02) 시나리오 테스트'!$R$5:$R$67,'Test 결과 종합'!E$6)</f>
        <v>0</v>
      </c>
      <c r="F16" s="11">
        <f>COUNTIFS('02) 시나리오 테스트'!$Q$5:$Q$67,'Test 결과 종합'!$C$3,'02) 시나리오 테스트'!$R$5:$R$67,'Test 결과 종합'!F$6)</f>
        <v>0</v>
      </c>
      <c r="G16" s="11">
        <f>COUNTIFS('02) 시나리오 테스트'!$Q$5:$Q$67,'Test 결과 종합'!$C$3,'02) 시나리오 테스트'!$R$5:$R$67,'Test 결과 종합'!G$6)</f>
        <v>0</v>
      </c>
      <c r="H16" s="25">
        <f>MAX('02) 시나리오 테스트'!$B$5:$B$67)-COUNTIF('02) 시나리오 테스트'!R5:R64,"N/A")</f>
        <v>22</v>
      </c>
      <c r="I16" s="31">
        <f t="shared" si="0"/>
        <v>0</v>
      </c>
      <c r="J16" s="35">
        <f>COUNTIFS('02) 시나리오 테스트'!$R$5:$R$67,'Test 결과 종합'!J$6)</f>
        <v>0</v>
      </c>
      <c r="K16" s="36">
        <f t="shared" ref="K16:K18" si="7">IF(J16=0,0,J16/H16)</f>
        <v>0</v>
      </c>
      <c r="L16" s="33">
        <f>COUNTIFS('02) 시나리오 테스트'!$R$5:$R$67,'Test 결과 종합'!L$6)</f>
        <v>0</v>
      </c>
      <c r="M16" s="12">
        <f t="shared" ref="M16:M18" si="8">IF(L16=0,0,L16/H16)</f>
        <v>0</v>
      </c>
      <c r="N16" s="33">
        <f>COUNTIFS('02) 시나리오 테스트'!$R$5:$R$67,'Test 결과 종합'!N$6)</f>
        <v>0</v>
      </c>
      <c r="O16" s="26">
        <f t="shared" ref="O16:O18" si="9">IF(N16=0,0,N16/H16)</f>
        <v>0</v>
      </c>
      <c r="P16" s="23"/>
    </row>
    <row r="17" spans="2:19" s="8" customFormat="1" ht="17.25">
      <c r="B17" s="443"/>
      <c r="C17" s="144" t="s">
        <v>187</v>
      </c>
      <c r="D17" s="10">
        <f>COUNTIFS('02) 시나리오 테스트'!$T$5:$T$67,'Test 결과 종합'!$C$3)</f>
        <v>0</v>
      </c>
      <c r="E17" s="11">
        <f>COUNTIFS('02) 시나리오 테스트'!$T$5:$T$67,'Test 결과 종합'!$C$3,'02) 시나리오 테스트'!$U$5:$U$67,'Test 결과 종합'!E$6)</f>
        <v>0</v>
      </c>
      <c r="F17" s="11">
        <f>COUNTIFS('02) 시나리오 테스트'!$T$5:$T$67,'Test 결과 종합'!$C$3,'02) 시나리오 테스트'!$U$5:$U$67,'Test 결과 종합'!F$6)</f>
        <v>0</v>
      </c>
      <c r="G17" s="11">
        <f>COUNTIFS('02) 시나리오 테스트'!$T$5:$T$67,'Test 결과 종합'!$C$3,'02) 시나리오 테스트'!$U$5:$U$67,'Test 결과 종합'!G$6)</f>
        <v>0</v>
      </c>
      <c r="H17" s="25">
        <f>MAX('02) 시나리오 테스트'!$B$5:$B$67)-COUNTIF('02) 시나리오 테스트'!U5:U64,"N/A")</f>
        <v>22</v>
      </c>
      <c r="I17" s="31">
        <f t="shared" si="0"/>
        <v>0</v>
      </c>
      <c r="J17" s="35">
        <f>COUNTIFS('02) 시나리오 테스트'!$U$5:$U$67,'Test 결과 종합'!J$6)</f>
        <v>0</v>
      </c>
      <c r="K17" s="36">
        <f t="shared" si="7"/>
        <v>0</v>
      </c>
      <c r="L17" s="33">
        <f>COUNTIFS('02) 시나리오 테스트'!$U$5:$U$67,'Test 결과 종합'!L$6)</f>
        <v>0</v>
      </c>
      <c r="M17" s="12">
        <f t="shared" si="8"/>
        <v>0</v>
      </c>
      <c r="N17" s="33">
        <f>COUNTIFS('02) 시나리오 테스트'!$U$5:$U$67,'Test 결과 종합'!N$6)</f>
        <v>0</v>
      </c>
      <c r="O17" s="26">
        <f t="shared" si="9"/>
        <v>0</v>
      </c>
      <c r="P17" s="23"/>
    </row>
    <row r="18" spans="2:19" s="8" customFormat="1" ht="17.25">
      <c r="B18" s="443"/>
      <c r="C18" s="144" t="s">
        <v>188</v>
      </c>
      <c r="D18" s="10">
        <f>COUNTIFS('02) 시나리오 테스트'!$W$5:$W$67,'Test 결과 종합'!$C$3)</f>
        <v>0</v>
      </c>
      <c r="E18" s="11">
        <f>COUNTIFS('02) 시나리오 테스트'!$W$5:$W$67,'Test 결과 종합'!$C$3,'02) 시나리오 테스트'!$X$5:$X$67,'Test 결과 종합'!E$6)</f>
        <v>0</v>
      </c>
      <c r="F18" s="11">
        <f>COUNTIFS('02) 시나리오 테스트'!$W$5:$W$67,'Test 결과 종합'!$C$3,'02) 시나리오 테스트'!$X$5:$X$67,'Test 결과 종합'!F$6)</f>
        <v>0</v>
      </c>
      <c r="G18" s="11">
        <f>COUNTIFS('02) 시나리오 테스트'!$W$5:$W$67,'Test 결과 종합'!$C$3,'02) 시나리오 테스트'!$X$5:$X$67,'Test 결과 종합'!G$6)</f>
        <v>0</v>
      </c>
      <c r="H18" s="25">
        <f>MAX('02) 시나리오 테스트'!$B$5:$B$67)-COUNTIF('02) 시나리오 테스트'!X5:X64,"N/A")</f>
        <v>22</v>
      </c>
      <c r="I18" s="31">
        <f t="shared" si="0"/>
        <v>0</v>
      </c>
      <c r="J18" s="35">
        <f>COUNTIFS('02) 시나리오 테스트'!$X$5:$X$67,'Test 결과 종합'!J$6)</f>
        <v>0</v>
      </c>
      <c r="K18" s="36">
        <f t="shared" si="7"/>
        <v>0</v>
      </c>
      <c r="L18" s="33">
        <f>COUNTIFS('02) 시나리오 테스트'!$X$5:$X$67,'Test 결과 종합'!L$6)</f>
        <v>0</v>
      </c>
      <c r="M18" s="12">
        <f t="shared" si="8"/>
        <v>0</v>
      </c>
      <c r="N18" s="33">
        <f>COUNTIFS('02) 시나리오 테스트'!$X$5:$X$67,'Test 결과 종합'!N$6)</f>
        <v>0</v>
      </c>
      <c r="O18" s="26">
        <f t="shared" si="9"/>
        <v>0</v>
      </c>
      <c r="P18" s="23"/>
    </row>
    <row r="19" spans="2:19" s="8" customFormat="1" ht="17.25">
      <c r="B19" s="443"/>
      <c r="C19" s="144" t="s">
        <v>189</v>
      </c>
      <c r="D19" s="10">
        <f>COUNTIFS('02) 시나리오 테스트'!$Z$5:$Z$67,'Test 결과 종합'!$C$3)</f>
        <v>0</v>
      </c>
      <c r="E19" s="11">
        <f>COUNTIFS('02) 시나리오 테스트'!$Z$5:$Z$67,'Test 결과 종합'!$C$3,'02) 시나리오 테스트'!$AA$5:$AA$67,'Test 결과 종합'!E$6)</f>
        <v>0</v>
      </c>
      <c r="F19" s="11">
        <f>COUNTIFS('02) 시나리오 테스트'!$Z$5:$Z$67,'Test 결과 종합'!$C$3,'02) 시나리오 테스트'!$AA$5:$AA$67,'Test 결과 종합'!F$6)</f>
        <v>0</v>
      </c>
      <c r="G19" s="11">
        <f>COUNTIFS('02) 시나리오 테스트'!$Z$5:$Z$67,'Test 결과 종합'!$C$3,'02) 시나리오 테스트'!$AA$5:$AA$67,'Test 결과 종합'!G$6)</f>
        <v>0</v>
      </c>
      <c r="H19" s="25">
        <f>MAX('02) 시나리오 테스트'!$B$5:$B$67)-COUNTIF('02) 시나리오 테스트'!AA5:AA64,"N/A")</f>
        <v>22</v>
      </c>
      <c r="I19" s="31">
        <f t="shared" si="0"/>
        <v>0</v>
      </c>
      <c r="J19" s="35">
        <f>COUNTIFS('02) 시나리오 테스트'!$AA$5:$AA$67,'Test 결과 종합'!J$6)</f>
        <v>0</v>
      </c>
      <c r="K19" s="36">
        <f t="shared" ref="K19:K20" si="10">IF(J19=0,0,J19/H19)</f>
        <v>0</v>
      </c>
      <c r="L19" s="33">
        <f>COUNTIFS('02) 시나리오 테스트'!$AA$5:$AA$67,'Test 결과 종합'!L$6)</f>
        <v>0</v>
      </c>
      <c r="M19" s="12">
        <f t="shared" ref="M19:M20" si="11">IF(L19=0,0,L19/H19)</f>
        <v>0</v>
      </c>
      <c r="N19" s="33">
        <f>COUNTIFS('02) 시나리오 테스트'!$AA$5:$AA$67,'Test 결과 종합'!N$6)</f>
        <v>0</v>
      </c>
      <c r="O19" s="26">
        <f t="shared" ref="O19:O20" si="12">IF(N19=0,0,N19/H19)</f>
        <v>0</v>
      </c>
      <c r="P19" s="23"/>
    </row>
    <row r="20" spans="2:19" s="8" customFormat="1" ht="17.25">
      <c r="B20" s="443"/>
      <c r="C20" s="144" t="s">
        <v>190</v>
      </c>
      <c r="D20" s="10">
        <f>COUNTIFS('02) 시나리오 테스트'!$AC$5:$AC$67,'Test 결과 종합'!$C$3)</f>
        <v>0</v>
      </c>
      <c r="E20" s="11">
        <f>COUNTIFS('02) 시나리오 테스트'!$AC$5:$AC$67,'Test 결과 종합'!$C$3,'02) 시나리오 테스트'!$AD$5:$AD$67,'Test 결과 종합'!E$6)</f>
        <v>0</v>
      </c>
      <c r="F20" s="11">
        <f>COUNTIFS('02) 시나리오 테스트'!$AC$5:$AC$67,'Test 결과 종합'!$C$3,'02) 시나리오 테스트'!$AD$5:$AD$67,'Test 결과 종합'!F$6)</f>
        <v>0</v>
      </c>
      <c r="G20" s="11">
        <f>COUNTIFS('02) 시나리오 테스트'!$AC$5:$AC$67,'Test 결과 종합'!$C$3,'02) 시나리오 테스트'!$AD$5:$AD$67,'Test 결과 종합'!G$6)</f>
        <v>0</v>
      </c>
      <c r="H20" s="25">
        <f>MAX('02) 시나리오 테스트'!$B$5:$B$67)-COUNTIF('02) 시나리오 테스트'!AD5:AD64,"N/A")</f>
        <v>22</v>
      </c>
      <c r="I20" s="31">
        <f t="shared" ref="I20" si="13">K20+O20</f>
        <v>0</v>
      </c>
      <c r="J20" s="35">
        <f>COUNTIFS('02) 시나리오 테스트'!$AD$5:$AD$67,'Test 결과 종합'!J$6)</f>
        <v>0</v>
      </c>
      <c r="K20" s="36">
        <f t="shared" si="10"/>
        <v>0</v>
      </c>
      <c r="L20" s="33">
        <f>COUNTIFS('02) 시나리오 테스트'!$AD$5:$AD$67,'Test 결과 종합'!L$6)</f>
        <v>0</v>
      </c>
      <c r="M20" s="12">
        <f t="shared" si="11"/>
        <v>0</v>
      </c>
      <c r="N20" s="33">
        <f>COUNTIFS('02) 시나리오 테스트'!$AD$5:$AD$67,'Test 결과 종합'!N$6)</f>
        <v>0</v>
      </c>
      <c r="O20" s="26">
        <f t="shared" si="12"/>
        <v>0</v>
      </c>
      <c r="P20" s="23"/>
    </row>
    <row r="21" spans="2:19" s="8" customFormat="1" ht="18" thickBot="1">
      <c r="B21" s="447"/>
      <c r="C21" s="143" t="s">
        <v>191</v>
      </c>
      <c r="D21" s="147">
        <f>COUNTIFS('02) 시나리오 테스트'!$AF$5:$AF$67,'Test 결과 종합'!$C$3)</f>
        <v>0</v>
      </c>
      <c r="E21" s="148">
        <f>COUNTIFS('02) 시나리오 테스트'!$AF$5:$AF$67,'Test 결과 종합'!$C$3,'02) 시나리오 테스트'!$AG$5:$AG$67,'Test 결과 종합'!E$6)</f>
        <v>0</v>
      </c>
      <c r="F21" s="148">
        <f>COUNTIFS('02) 시나리오 테스트'!$AF$5:$AF$67,'Test 결과 종합'!$C$3,'02) 시나리오 테스트'!$AG$5:$AG$67,'Test 결과 종합'!F$6)</f>
        <v>0</v>
      </c>
      <c r="G21" s="148">
        <f>COUNTIFS('02) 시나리오 테스트'!$AF$5:$AF$67,'Test 결과 종합'!$C$3,'02) 시나리오 테스트'!$AG$5:$AG$67,'Test 결과 종합'!G$6)</f>
        <v>0</v>
      </c>
      <c r="H21" s="156">
        <f>MAX('02) 시나리오 테스트'!$B$5:$B$67)-COUNTIF('02) 시나리오 테스트'!AG5:AG64,"N/A")</f>
        <v>22</v>
      </c>
      <c r="I21" s="149">
        <f>K21+O21</f>
        <v>0</v>
      </c>
      <c r="J21" s="150">
        <f>COUNTIFS('02) 시나리오 테스트'!$AG$5:$AG$67,'Test 결과 종합'!J$6)</f>
        <v>0</v>
      </c>
      <c r="K21" s="151">
        <f>IF(J21=0,0,J21/H21)</f>
        <v>0</v>
      </c>
      <c r="L21" s="152">
        <f>COUNTIFS('02) 시나리오 테스트'!$AG$5:$AG$67,'Test 결과 종합'!L$6)</f>
        <v>0</v>
      </c>
      <c r="M21" s="153">
        <f>IF(L21=0,0,L21/H21)</f>
        <v>0</v>
      </c>
      <c r="N21" s="152">
        <f>COUNTIFS('02) 시나리오 테스트'!$AG$5:$AG$67,'Test 결과 종합'!N$6)</f>
        <v>0</v>
      </c>
      <c r="O21" s="154">
        <f>IF(N21=0,0,N21/H21)</f>
        <v>0</v>
      </c>
      <c r="P21" s="187"/>
    </row>
    <row r="22" spans="2:19" s="8" customFormat="1" ht="17.25">
      <c r="B22" s="461" t="s">
        <v>167</v>
      </c>
      <c r="C22" s="205" t="s">
        <v>185</v>
      </c>
      <c r="D22" s="176"/>
      <c r="E22" s="177"/>
      <c r="F22" s="177"/>
      <c r="G22" s="178"/>
      <c r="H22" s="179">
        <f>H8+H15</f>
        <v>56</v>
      </c>
      <c r="I22" s="180">
        <f>J22/H22</f>
        <v>0</v>
      </c>
      <c r="J22" s="181">
        <f>J8+J15</f>
        <v>0</v>
      </c>
      <c r="K22" s="194">
        <f t="shared" ref="K22:K26" si="14">IF(J22=0,0,J22/H22)</f>
        <v>0</v>
      </c>
      <c r="L22" s="181">
        <f>L8+L15</f>
        <v>0</v>
      </c>
      <c r="M22" s="184">
        <f>IF(L22=0,0,L22/H22)</f>
        <v>0</v>
      </c>
      <c r="N22" s="183">
        <f>N8+N15</f>
        <v>0</v>
      </c>
      <c r="O22" s="185">
        <f t="shared" ref="O22:O23" si="15">IF(N22=0,0,N22/H22)</f>
        <v>0</v>
      </c>
      <c r="P22" s="186"/>
    </row>
    <row r="23" spans="2:19" s="8" customFormat="1" ht="17.25">
      <c r="B23" s="462"/>
      <c r="C23" s="206" t="s">
        <v>186</v>
      </c>
      <c r="D23" s="10"/>
      <c r="E23" s="11"/>
      <c r="F23" s="11"/>
      <c r="G23" s="21"/>
      <c r="H23" s="191">
        <f t="shared" ref="H23:H28" si="16">H9+H16</f>
        <v>56</v>
      </c>
      <c r="I23" s="192">
        <f>J23/H23</f>
        <v>0</v>
      </c>
      <c r="J23" s="193">
        <f>J9+J16</f>
        <v>0</v>
      </c>
      <c r="K23" s="194">
        <f t="shared" si="14"/>
        <v>0</v>
      </c>
      <c r="L23" s="193">
        <f>L9+L16</f>
        <v>0</v>
      </c>
      <c r="M23" s="196">
        <f t="shared" ref="M23:M28" si="17">IF(L23=0,0,L23/H23)</f>
        <v>0</v>
      </c>
      <c r="N23" s="195">
        <f>N9+N16</f>
        <v>0</v>
      </c>
      <c r="O23" s="197">
        <f t="shared" si="15"/>
        <v>0</v>
      </c>
      <c r="P23" s="146"/>
    </row>
    <row r="24" spans="2:19" s="8" customFormat="1" ht="17.25">
      <c r="B24" s="462"/>
      <c r="C24" s="206" t="s">
        <v>187</v>
      </c>
      <c r="D24" s="155"/>
      <c r="E24" s="189"/>
      <c r="F24" s="189"/>
      <c r="G24" s="190"/>
      <c r="H24" s="191">
        <f t="shared" si="16"/>
        <v>56</v>
      </c>
      <c r="I24" s="192">
        <f t="shared" ref="I24:I25" si="18">J24/H24</f>
        <v>0</v>
      </c>
      <c r="J24" s="193">
        <f t="shared" ref="J24:J28" si="19">J10+J17</f>
        <v>0</v>
      </c>
      <c r="K24" s="194">
        <f t="shared" si="14"/>
        <v>0</v>
      </c>
      <c r="L24" s="193">
        <f t="shared" ref="L24:N26" si="20">L10+L17</f>
        <v>0</v>
      </c>
      <c r="M24" s="196">
        <f t="shared" si="17"/>
        <v>0</v>
      </c>
      <c r="N24" s="195">
        <f t="shared" si="20"/>
        <v>0</v>
      </c>
      <c r="O24" s="197">
        <f>IF(N24=0,0,N24/H24)</f>
        <v>0</v>
      </c>
      <c r="P24" s="23"/>
      <c r="S24" s="202"/>
    </row>
    <row r="25" spans="2:19" s="8" customFormat="1" ht="17.25">
      <c r="B25" s="462"/>
      <c r="C25" s="206" t="s">
        <v>188</v>
      </c>
      <c r="D25" s="155"/>
      <c r="E25" s="189"/>
      <c r="F25" s="189"/>
      <c r="G25" s="190"/>
      <c r="H25" s="191">
        <f t="shared" si="16"/>
        <v>56</v>
      </c>
      <c r="I25" s="192">
        <f t="shared" si="18"/>
        <v>0</v>
      </c>
      <c r="J25" s="193">
        <f t="shared" si="19"/>
        <v>0</v>
      </c>
      <c r="K25" s="194">
        <f t="shared" si="14"/>
        <v>0</v>
      </c>
      <c r="L25" s="193">
        <f t="shared" si="20"/>
        <v>0</v>
      </c>
      <c r="M25" s="196">
        <f t="shared" si="17"/>
        <v>0</v>
      </c>
      <c r="N25" s="195">
        <f t="shared" si="20"/>
        <v>0</v>
      </c>
      <c r="O25" s="197">
        <f t="shared" ref="O25:O28" si="21">IF(N25=0,0,N25/H25)</f>
        <v>0</v>
      </c>
      <c r="P25" s="23"/>
    </row>
    <row r="26" spans="2:19" s="8" customFormat="1" ht="17.25">
      <c r="B26" s="462"/>
      <c r="C26" s="206" t="s">
        <v>189</v>
      </c>
      <c r="D26" s="155"/>
      <c r="E26" s="189"/>
      <c r="F26" s="189"/>
      <c r="G26" s="190"/>
      <c r="H26" s="191">
        <f t="shared" si="16"/>
        <v>56</v>
      </c>
      <c r="I26" s="192">
        <f t="shared" ref="I26" si="22">(J12+J19)/H26</f>
        <v>0</v>
      </c>
      <c r="J26" s="193">
        <f t="shared" si="19"/>
        <v>0</v>
      </c>
      <c r="K26" s="194">
        <f t="shared" si="14"/>
        <v>0</v>
      </c>
      <c r="L26" s="193">
        <f t="shared" si="20"/>
        <v>0</v>
      </c>
      <c r="M26" s="196">
        <f t="shared" si="17"/>
        <v>0</v>
      </c>
      <c r="N26" s="195">
        <f t="shared" si="20"/>
        <v>0</v>
      </c>
      <c r="O26" s="197">
        <f t="shared" si="21"/>
        <v>0</v>
      </c>
      <c r="P26" s="23"/>
    </row>
    <row r="27" spans="2:19" s="8" customFormat="1" ht="17.25">
      <c r="B27" s="462"/>
      <c r="C27" s="206" t="s">
        <v>190</v>
      </c>
      <c r="D27" s="10"/>
      <c r="E27" s="11"/>
      <c r="F27" s="11"/>
      <c r="G27" s="21"/>
      <c r="H27" s="191">
        <f t="shared" si="16"/>
        <v>56</v>
      </c>
      <c r="I27" s="201">
        <f>K27</f>
        <v>0</v>
      </c>
      <c r="J27" s="193">
        <f t="shared" si="19"/>
        <v>0</v>
      </c>
      <c r="K27" s="194">
        <f>IF(J27=0,0,J27/H27)</f>
        <v>0</v>
      </c>
      <c r="L27" s="193">
        <f t="shared" ref="L27" si="23">L13+L20</f>
        <v>0</v>
      </c>
      <c r="M27" s="196">
        <f t="shared" si="17"/>
        <v>0</v>
      </c>
      <c r="N27" s="195">
        <f t="shared" ref="N27" si="24">N13+N20</f>
        <v>0</v>
      </c>
      <c r="O27" s="197">
        <f t="shared" si="21"/>
        <v>0</v>
      </c>
      <c r="P27" s="23"/>
    </row>
    <row r="28" spans="2:19" s="8" customFormat="1" ht="18" thickBot="1">
      <c r="B28" s="463"/>
      <c r="C28" s="306" t="s">
        <v>191</v>
      </c>
      <c r="D28" s="198"/>
      <c r="E28" s="199"/>
      <c r="F28" s="199"/>
      <c r="G28" s="200"/>
      <c r="H28" s="25">
        <f t="shared" si="16"/>
        <v>56</v>
      </c>
      <c r="I28" s="201">
        <f>K28</f>
        <v>0</v>
      </c>
      <c r="J28" s="150">
        <f t="shared" si="19"/>
        <v>0</v>
      </c>
      <c r="K28" s="194">
        <f>IF(J28=0,0,J28/H28)</f>
        <v>0</v>
      </c>
      <c r="L28" s="193">
        <f t="shared" ref="L28" si="25">L14+L21</f>
        <v>0</v>
      </c>
      <c r="M28" s="196">
        <f t="shared" si="17"/>
        <v>0</v>
      </c>
      <c r="N28" s="195">
        <f t="shared" ref="N28" si="26">N14+N21</f>
        <v>0</v>
      </c>
      <c r="O28" s="197">
        <f t="shared" si="21"/>
        <v>0</v>
      </c>
      <c r="P28" s="157"/>
    </row>
    <row r="29" spans="2:19" s="8" customFormat="1" ht="18" thickBot="1">
      <c r="B29" s="459" t="s">
        <v>166</v>
      </c>
      <c r="C29" s="460"/>
      <c r="D29" s="13">
        <f>SUM(D8:D21)</f>
        <v>0</v>
      </c>
      <c r="E29" s="14">
        <f>SUM(E8:E21)</f>
        <v>0</v>
      </c>
      <c r="F29" s="14">
        <f>SUM(F8:F21)</f>
        <v>0</v>
      </c>
      <c r="G29" s="22">
        <f>SUM(G8:G21)</f>
        <v>0</v>
      </c>
      <c r="H29" s="27">
        <f>SUM(H8:H21)</f>
        <v>392</v>
      </c>
      <c r="I29" s="32">
        <f>K29</f>
        <v>0</v>
      </c>
      <c r="J29" s="203">
        <f>SUM(J8:J21)</f>
        <v>0</v>
      </c>
      <c r="K29" s="204">
        <f>IF(J29=0,0,J29/H29)</f>
        <v>0</v>
      </c>
      <c r="L29" s="34">
        <f>SUM(L8:L21)</f>
        <v>0</v>
      </c>
      <c r="M29" s="29">
        <f>IF(L29=0,0,L29/H29)</f>
        <v>0</v>
      </c>
      <c r="N29" s="28">
        <f>SUM(N8:N21)</f>
        <v>0</v>
      </c>
      <c r="O29" s="30">
        <f>IF(N29=0,0,N29/H29)</f>
        <v>0</v>
      </c>
      <c r="P29" s="24"/>
    </row>
    <row r="30" spans="2:19" s="8" customFormat="1" ht="7.5" customHeight="1">
      <c r="D30" s="15"/>
      <c r="E30" s="15"/>
      <c r="F30" s="15"/>
      <c r="G30" s="15"/>
      <c r="H30" s="15"/>
      <c r="I30" s="15"/>
      <c r="J30" s="15"/>
      <c r="L30" s="15"/>
      <c r="N30" s="15"/>
    </row>
    <row r="31" spans="2:19" s="17" customFormat="1" ht="17.25" customHeight="1">
      <c r="B31" s="448" t="s">
        <v>69</v>
      </c>
      <c r="C31" s="449"/>
      <c r="D31" s="464" t="s">
        <v>363</v>
      </c>
      <c r="E31" s="465"/>
      <c r="F31" s="465"/>
      <c r="G31" s="465"/>
      <c r="H31" s="465"/>
      <c r="I31" s="465"/>
      <c r="J31" s="465"/>
      <c r="K31" s="465"/>
      <c r="L31" s="465"/>
      <c r="M31" s="465"/>
      <c r="N31" s="465"/>
      <c r="O31" s="465"/>
      <c r="P31" s="466"/>
      <c r="Q31" s="16"/>
    </row>
    <row r="32" spans="2:19" s="17" customFormat="1" ht="17.25">
      <c r="B32" s="450"/>
      <c r="C32" s="451"/>
      <c r="D32" s="39" t="s">
        <v>78</v>
      </c>
      <c r="E32" s="133"/>
      <c r="F32" s="133"/>
      <c r="G32" s="133"/>
      <c r="H32" s="133"/>
      <c r="I32" s="133"/>
      <c r="J32" s="133"/>
      <c r="K32" s="133"/>
      <c r="L32" s="133"/>
      <c r="M32" s="133"/>
      <c r="N32" s="133"/>
      <c r="O32" s="133"/>
      <c r="P32" s="38"/>
      <c r="Q32" s="16"/>
    </row>
    <row r="33" spans="2:20" s="17" customFormat="1" ht="17.25" customHeight="1">
      <c r="B33" s="450"/>
      <c r="C33" s="451"/>
      <c r="D33" s="427"/>
      <c r="E33" s="433" t="s">
        <v>120</v>
      </c>
      <c r="F33" s="434"/>
      <c r="G33" s="435"/>
      <c r="H33" s="433" t="s">
        <v>76</v>
      </c>
      <c r="I33" s="435"/>
      <c r="J33" s="433" t="s">
        <v>75</v>
      </c>
      <c r="K33" s="435"/>
      <c r="L33" s="433" t="s">
        <v>79</v>
      </c>
      <c r="M33" s="434"/>
      <c r="N33" s="434"/>
      <c r="O33" s="435"/>
      <c r="P33" s="426"/>
      <c r="Q33" s="16"/>
    </row>
    <row r="34" spans="2:20" s="17" customFormat="1" ht="17.25" customHeight="1">
      <c r="B34" s="450"/>
      <c r="C34" s="451"/>
      <c r="D34" s="427"/>
      <c r="E34" s="412"/>
      <c r="F34" s="413"/>
      <c r="G34" s="414"/>
      <c r="H34" s="412"/>
      <c r="I34" s="414"/>
      <c r="J34" s="412"/>
      <c r="K34" s="414"/>
      <c r="L34" s="412"/>
      <c r="M34" s="413"/>
      <c r="N34" s="413"/>
      <c r="O34" s="414"/>
      <c r="P34" s="426"/>
      <c r="Q34" s="16"/>
    </row>
    <row r="35" spans="2:20" s="17" customFormat="1" ht="17.25" customHeight="1">
      <c r="B35" s="450"/>
      <c r="C35" s="451"/>
      <c r="D35" s="427"/>
      <c r="E35" s="412"/>
      <c r="F35" s="413"/>
      <c r="G35" s="414"/>
      <c r="H35" s="412"/>
      <c r="I35" s="414"/>
      <c r="J35" s="412"/>
      <c r="K35" s="414"/>
      <c r="L35" s="412"/>
      <c r="M35" s="413"/>
      <c r="N35" s="413"/>
      <c r="O35" s="414"/>
      <c r="P35" s="426"/>
      <c r="Q35" s="16"/>
    </row>
    <row r="36" spans="2:20" s="17" customFormat="1" ht="17.25" customHeight="1">
      <c r="B36" s="450"/>
      <c r="C36" s="451"/>
      <c r="D36" s="427"/>
      <c r="E36" s="412"/>
      <c r="F36" s="413"/>
      <c r="G36" s="414"/>
      <c r="H36" s="412"/>
      <c r="I36" s="414"/>
      <c r="J36" s="412"/>
      <c r="K36" s="414"/>
      <c r="L36" s="412"/>
      <c r="M36" s="413"/>
      <c r="N36" s="413"/>
      <c r="O36" s="414"/>
      <c r="P36" s="426"/>
      <c r="Q36" s="16"/>
    </row>
    <row r="37" spans="2:20" s="17" customFormat="1" ht="17.25" customHeight="1">
      <c r="B37" s="450"/>
      <c r="C37" s="451"/>
      <c r="D37" s="427"/>
      <c r="E37" s="412"/>
      <c r="F37" s="413"/>
      <c r="G37" s="414"/>
      <c r="H37" s="412"/>
      <c r="I37" s="414"/>
      <c r="J37" s="412"/>
      <c r="K37" s="414"/>
      <c r="L37" s="412"/>
      <c r="M37" s="413"/>
      <c r="N37" s="413"/>
      <c r="O37" s="414"/>
      <c r="P37" s="426"/>
      <c r="Q37" s="16"/>
    </row>
    <row r="38" spans="2:20" s="17" customFormat="1" ht="17.25" customHeight="1">
      <c r="B38" s="450"/>
      <c r="C38" s="451"/>
      <c r="D38" s="427"/>
      <c r="E38" s="412"/>
      <c r="F38" s="413"/>
      <c r="G38" s="414"/>
      <c r="H38" s="412"/>
      <c r="I38" s="414"/>
      <c r="J38" s="412"/>
      <c r="K38" s="414"/>
      <c r="L38" s="412"/>
      <c r="M38" s="413"/>
      <c r="N38" s="413"/>
      <c r="O38" s="414"/>
      <c r="P38" s="426"/>
      <c r="Q38" s="16"/>
    </row>
    <row r="39" spans="2:20" s="17" customFormat="1" ht="17.25" customHeight="1">
      <c r="B39" s="450"/>
      <c r="C39" s="451"/>
      <c r="D39" s="427"/>
      <c r="E39" s="412"/>
      <c r="F39" s="413"/>
      <c r="G39" s="414"/>
      <c r="H39" s="412"/>
      <c r="I39" s="414"/>
      <c r="J39" s="412"/>
      <c r="K39" s="414"/>
      <c r="L39" s="412"/>
      <c r="M39" s="413"/>
      <c r="N39" s="413"/>
      <c r="O39" s="414"/>
      <c r="P39" s="426"/>
      <c r="Q39" s="16"/>
    </row>
    <row r="40" spans="2:20" s="17" customFormat="1" ht="17.25" customHeight="1">
      <c r="B40" s="450"/>
      <c r="C40" s="451"/>
      <c r="D40" s="427"/>
      <c r="E40" s="412"/>
      <c r="F40" s="413"/>
      <c r="G40" s="414"/>
      <c r="H40" s="412"/>
      <c r="I40" s="414"/>
      <c r="J40" s="412"/>
      <c r="K40" s="414"/>
      <c r="L40" s="412"/>
      <c r="M40" s="413"/>
      <c r="N40" s="413"/>
      <c r="O40" s="414"/>
      <c r="P40" s="426"/>
      <c r="Q40" s="16"/>
    </row>
    <row r="41" spans="2:20" s="17" customFormat="1" ht="17.25" customHeight="1">
      <c r="B41" s="450"/>
      <c r="C41" s="451"/>
      <c r="D41" s="427"/>
      <c r="E41" s="412"/>
      <c r="F41" s="413"/>
      <c r="G41" s="414"/>
      <c r="H41" s="412"/>
      <c r="I41" s="414"/>
      <c r="J41" s="412"/>
      <c r="K41" s="414"/>
      <c r="L41" s="412"/>
      <c r="M41" s="413"/>
      <c r="N41" s="413"/>
      <c r="O41" s="414"/>
      <c r="P41" s="426"/>
      <c r="Q41" s="16"/>
    </row>
    <row r="42" spans="2:20" s="17" customFormat="1" ht="17.25">
      <c r="B42" s="450"/>
      <c r="C42" s="451"/>
      <c r="D42" s="423" t="s">
        <v>77</v>
      </c>
      <c r="E42" s="424"/>
      <c r="F42" s="424"/>
      <c r="G42" s="424"/>
      <c r="H42" s="424"/>
      <c r="I42" s="424"/>
      <c r="J42" s="424"/>
      <c r="K42" s="424"/>
      <c r="L42" s="424"/>
      <c r="M42" s="424"/>
      <c r="N42" s="424"/>
      <c r="O42" s="424"/>
      <c r="P42" s="425"/>
      <c r="Q42" s="16"/>
    </row>
    <row r="43" spans="2:20" s="17" customFormat="1" ht="17.25" customHeight="1">
      <c r="B43" s="450"/>
      <c r="C43" s="451"/>
      <c r="D43" s="419"/>
      <c r="E43" s="406" t="s">
        <v>115</v>
      </c>
      <c r="F43" s="444"/>
      <c r="G43" s="407"/>
      <c r="H43" s="406" t="s">
        <v>88</v>
      </c>
      <c r="I43" s="407"/>
      <c r="J43" s="406" t="s">
        <v>89</v>
      </c>
      <c r="K43" s="407"/>
      <c r="L43" s="406" t="s">
        <v>90</v>
      </c>
      <c r="M43" s="407"/>
      <c r="N43" s="406" t="s">
        <v>91</v>
      </c>
      <c r="O43" s="407"/>
      <c r="P43" s="132" t="s">
        <v>92</v>
      </c>
      <c r="Q43" s="16"/>
    </row>
    <row r="44" spans="2:20" s="17" customFormat="1" ht="17.25" customHeight="1">
      <c r="B44" s="450"/>
      <c r="C44" s="451"/>
      <c r="D44" s="419"/>
      <c r="E44" s="412" t="s">
        <v>86</v>
      </c>
      <c r="F44" s="413"/>
      <c r="G44" s="414"/>
      <c r="H44" s="408" t="s">
        <v>123</v>
      </c>
      <c r="I44" s="408"/>
      <c r="J44" s="408" t="s">
        <v>122</v>
      </c>
      <c r="K44" s="408"/>
      <c r="L44" s="408" t="s">
        <v>125</v>
      </c>
      <c r="M44" s="408"/>
      <c r="N44" s="408" t="s">
        <v>125</v>
      </c>
      <c r="O44" s="408"/>
      <c r="P44" s="37"/>
      <c r="Q44" s="16"/>
    </row>
    <row r="45" spans="2:20" s="17" customFormat="1" ht="17.25" customHeight="1">
      <c r="B45" s="450"/>
      <c r="C45" s="451"/>
      <c r="D45" s="419"/>
      <c r="E45" s="412" t="s">
        <v>87</v>
      </c>
      <c r="F45" s="413"/>
      <c r="G45" s="414"/>
      <c r="H45" s="408" t="s">
        <v>123</v>
      </c>
      <c r="I45" s="408"/>
      <c r="J45" s="408" t="s">
        <v>122</v>
      </c>
      <c r="K45" s="408"/>
      <c r="L45" s="408" t="s">
        <v>121</v>
      </c>
      <c r="M45" s="408"/>
      <c r="N45" s="408" t="s">
        <v>124</v>
      </c>
      <c r="O45" s="408"/>
      <c r="P45" s="37"/>
      <c r="Q45" s="16"/>
    </row>
    <row r="46" spans="2:20" s="17" customFormat="1" ht="13.5" customHeight="1">
      <c r="B46" s="452"/>
      <c r="C46" s="453"/>
      <c r="D46" s="420"/>
      <c r="E46" s="421"/>
      <c r="F46" s="421"/>
      <c r="G46" s="421"/>
      <c r="H46" s="421"/>
      <c r="I46" s="421"/>
      <c r="J46" s="421"/>
      <c r="K46" s="421"/>
      <c r="L46" s="421"/>
      <c r="M46" s="421"/>
      <c r="N46" s="421"/>
      <c r="O46" s="421"/>
      <c r="P46" s="422"/>
      <c r="Q46" s="16"/>
    </row>
    <row r="47" spans="2:20" s="17" customFormat="1" ht="171.75" customHeight="1">
      <c r="B47" s="454" t="s">
        <v>70</v>
      </c>
      <c r="C47" s="455"/>
      <c r="D47" s="409" t="s">
        <v>176</v>
      </c>
      <c r="E47" s="410"/>
      <c r="F47" s="410"/>
      <c r="G47" s="410"/>
      <c r="H47" s="410"/>
      <c r="I47" s="410"/>
      <c r="J47" s="410"/>
      <c r="K47" s="410"/>
      <c r="L47" s="410"/>
      <c r="M47" s="410"/>
      <c r="N47" s="410"/>
      <c r="O47" s="410"/>
      <c r="P47" s="411"/>
      <c r="Q47" s="18"/>
      <c r="T47" s="134"/>
    </row>
    <row r="48" spans="2:20" ht="17.25" customHeight="1">
      <c r="B48" s="473" t="s">
        <v>165</v>
      </c>
      <c r="C48" s="474"/>
      <c r="D48" s="135"/>
      <c r="E48" s="136"/>
      <c r="F48" s="136"/>
      <c r="G48" s="136"/>
      <c r="H48" s="136"/>
      <c r="I48" s="136"/>
      <c r="J48" s="136"/>
      <c r="K48" s="137"/>
      <c r="L48" s="136"/>
      <c r="M48" s="137"/>
      <c r="N48" s="136"/>
      <c r="O48" s="137"/>
      <c r="P48" s="138"/>
      <c r="T48" s="134"/>
    </row>
    <row r="49" spans="2:20" ht="17.25" customHeight="1">
      <c r="B49" s="475"/>
      <c r="C49" s="476"/>
      <c r="D49" s="134"/>
      <c r="E49" s="479" t="s">
        <v>149</v>
      </c>
      <c r="F49" s="479"/>
      <c r="G49" s="479"/>
      <c r="H49" s="479"/>
      <c r="I49" s="479"/>
      <c r="J49" s="479"/>
      <c r="K49" s="479"/>
      <c r="L49" s="405" t="s">
        <v>150</v>
      </c>
      <c r="M49" s="405"/>
      <c r="N49" s="405" t="s">
        <v>155</v>
      </c>
      <c r="O49" s="405"/>
      <c r="P49" s="139"/>
      <c r="T49" s="134"/>
    </row>
    <row r="50" spans="2:20" ht="17.25" customHeight="1">
      <c r="B50" s="475"/>
      <c r="C50" s="476"/>
      <c r="D50" s="134"/>
      <c r="E50" s="480" t="s">
        <v>156</v>
      </c>
      <c r="F50" s="480"/>
      <c r="G50" s="480"/>
      <c r="H50" s="480"/>
      <c r="I50" s="480"/>
      <c r="J50" s="480"/>
      <c r="K50" s="480"/>
      <c r="L50" s="415" t="s">
        <v>151</v>
      </c>
      <c r="M50" s="415"/>
      <c r="N50" s="415" t="s">
        <v>163</v>
      </c>
      <c r="O50" s="415"/>
      <c r="P50" s="139"/>
      <c r="T50" s="134"/>
    </row>
    <row r="51" spans="2:20" ht="17.25" customHeight="1">
      <c r="B51" s="475"/>
      <c r="C51" s="476"/>
      <c r="D51" s="134"/>
      <c r="E51" s="481" t="s">
        <v>157</v>
      </c>
      <c r="F51" s="481"/>
      <c r="G51" s="481"/>
      <c r="H51" s="481"/>
      <c r="I51" s="481"/>
      <c r="J51" s="481"/>
      <c r="K51" s="481"/>
      <c r="L51" s="415" t="s">
        <v>151</v>
      </c>
      <c r="M51" s="415"/>
      <c r="N51" s="415" t="s">
        <v>163</v>
      </c>
      <c r="O51" s="415"/>
      <c r="P51" s="139"/>
      <c r="T51" s="134"/>
    </row>
    <row r="52" spans="2:20" ht="17.25" customHeight="1">
      <c r="B52" s="475"/>
      <c r="C52" s="476"/>
      <c r="D52" s="134"/>
      <c r="E52" s="481" t="s">
        <v>158</v>
      </c>
      <c r="F52" s="481"/>
      <c r="G52" s="481"/>
      <c r="H52" s="481"/>
      <c r="I52" s="481"/>
      <c r="J52" s="481"/>
      <c r="K52" s="481"/>
      <c r="L52" s="415" t="s">
        <v>151</v>
      </c>
      <c r="M52" s="415"/>
      <c r="N52" s="415" t="s">
        <v>163</v>
      </c>
      <c r="O52" s="415"/>
      <c r="P52" s="139"/>
      <c r="T52" s="134"/>
    </row>
    <row r="53" spans="2:20" ht="17.25">
      <c r="B53" s="475"/>
      <c r="C53" s="476"/>
      <c r="D53" s="134"/>
      <c r="E53" s="481" t="s">
        <v>159</v>
      </c>
      <c r="F53" s="481"/>
      <c r="G53" s="481"/>
      <c r="H53" s="481"/>
      <c r="I53" s="481"/>
      <c r="J53" s="481"/>
      <c r="K53" s="481"/>
      <c r="L53" s="415" t="s">
        <v>152</v>
      </c>
      <c r="M53" s="415"/>
      <c r="N53" s="415" t="s">
        <v>163</v>
      </c>
      <c r="O53" s="415"/>
      <c r="P53" s="139"/>
    </row>
    <row r="54" spans="2:20" ht="17.25">
      <c r="B54" s="475"/>
      <c r="C54" s="476"/>
      <c r="E54" s="481" t="s">
        <v>160</v>
      </c>
      <c r="F54" s="481"/>
      <c r="G54" s="481"/>
      <c r="H54" s="481"/>
      <c r="I54" s="481"/>
      <c r="J54" s="481"/>
      <c r="K54" s="481"/>
      <c r="L54" s="415" t="s">
        <v>153</v>
      </c>
      <c r="M54" s="415"/>
      <c r="N54" s="415" t="s">
        <v>163</v>
      </c>
      <c r="O54" s="415"/>
      <c r="P54" s="139"/>
    </row>
    <row r="55" spans="2:20" ht="17.25">
      <c r="B55" s="475"/>
      <c r="C55" s="476"/>
      <c r="E55" s="481" t="s">
        <v>161</v>
      </c>
      <c r="F55" s="481"/>
      <c r="G55" s="481"/>
      <c r="H55" s="481"/>
      <c r="I55" s="481"/>
      <c r="J55" s="481"/>
      <c r="K55" s="481"/>
      <c r="L55" s="415" t="s">
        <v>152</v>
      </c>
      <c r="M55" s="415"/>
      <c r="N55" s="415" t="s">
        <v>163</v>
      </c>
      <c r="O55" s="415"/>
      <c r="P55" s="139"/>
    </row>
    <row r="56" spans="2:20" ht="17.25">
      <c r="B56" s="475"/>
      <c r="C56" s="476"/>
      <c r="E56" s="481" t="s">
        <v>162</v>
      </c>
      <c r="F56" s="481"/>
      <c r="G56" s="481"/>
      <c r="H56" s="481"/>
      <c r="I56" s="481"/>
      <c r="J56" s="481"/>
      <c r="K56" s="481"/>
      <c r="L56" s="415" t="s">
        <v>154</v>
      </c>
      <c r="M56" s="415"/>
      <c r="N56" s="415" t="s">
        <v>163</v>
      </c>
      <c r="O56" s="415"/>
      <c r="P56" s="139"/>
    </row>
    <row r="57" spans="2:20" ht="17.25" customHeight="1">
      <c r="B57" s="477"/>
      <c r="C57" s="478"/>
      <c r="D57" s="140"/>
      <c r="E57" s="140"/>
      <c r="F57" s="140"/>
      <c r="G57" s="140"/>
      <c r="H57" s="140"/>
      <c r="I57" s="140"/>
      <c r="J57" s="140"/>
      <c r="K57" s="141"/>
      <c r="L57" s="140"/>
      <c r="M57" s="141"/>
      <c r="N57" s="140"/>
      <c r="O57" s="141"/>
      <c r="P57" s="142"/>
    </row>
  </sheetData>
  <mergeCells count="105">
    <mergeCell ref="B48:C57"/>
    <mergeCell ref="L37:O37"/>
    <mergeCell ref="J38:K38"/>
    <mergeCell ref="L38:O38"/>
    <mergeCell ref="J39:K39"/>
    <mergeCell ref="L39:O39"/>
    <mergeCell ref="H37:I37"/>
    <mergeCell ref="H38:I38"/>
    <mergeCell ref="H39:I39"/>
    <mergeCell ref="H40:I40"/>
    <mergeCell ref="J37:K37"/>
    <mergeCell ref="J40:K40"/>
    <mergeCell ref="E49:K49"/>
    <mergeCell ref="E50:K50"/>
    <mergeCell ref="E51:K51"/>
    <mergeCell ref="E52:K52"/>
    <mergeCell ref="E53:K53"/>
    <mergeCell ref="E54:K54"/>
    <mergeCell ref="E55:K55"/>
    <mergeCell ref="E56:K56"/>
    <mergeCell ref="L55:M55"/>
    <mergeCell ref="L56:M56"/>
    <mergeCell ref="N54:O54"/>
    <mergeCell ref="N55:O55"/>
    <mergeCell ref="C5:C7"/>
    <mergeCell ref="B8:B14"/>
    <mergeCell ref="B15:B21"/>
    <mergeCell ref="B31:C46"/>
    <mergeCell ref="B47:C47"/>
    <mergeCell ref="E35:G35"/>
    <mergeCell ref="H35:I35"/>
    <mergeCell ref="E41:G41"/>
    <mergeCell ref="H41:I41"/>
    <mergeCell ref="H5:O5"/>
    <mergeCell ref="B29:C29"/>
    <mergeCell ref="B22:B28"/>
    <mergeCell ref="L40:O40"/>
    <mergeCell ref="J34:K34"/>
    <mergeCell ref="L33:O33"/>
    <mergeCell ref="L34:O34"/>
    <mergeCell ref="L43:M43"/>
    <mergeCell ref="N43:O43"/>
    <mergeCell ref="J44:K44"/>
    <mergeCell ref="D31:P31"/>
    <mergeCell ref="E6:E7"/>
    <mergeCell ref="F6:F7"/>
    <mergeCell ref="G6:G7"/>
    <mergeCell ref="H6:H7"/>
    <mergeCell ref="I6:I7"/>
    <mergeCell ref="L35:O35"/>
    <mergeCell ref="L41:O41"/>
    <mergeCell ref="J35:K35"/>
    <mergeCell ref="J41:K41"/>
    <mergeCell ref="E36:G36"/>
    <mergeCell ref="H36:I36"/>
    <mergeCell ref="J36:K36"/>
    <mergeCell ref="L36:O36"/>
    <mergeCell ref="E37:G37"/>
    <mergeCell ref="E38:G38"/>
    <mergeCell ref="E39:G39"/>
    <mergeCell ref="E40:G40"/>
    <mergeCell ref="E3:P3"/>
    <mergeCell ref="B4:P4"/>
    <mergeCell ref="D1:P1"/>
    <mergeCell ref="D43:D45"/>
    <mergeCell ref="D46:P46"/>
    <mergeCell ref="D42:P42"/>
    <mergeCell ref="P33:P41"/>
    <mergeCell ref="D33:D41"/>
    <mergeCell ref="D5:G5"/>
    <mergeCell ref="H44:I44"/>
    <mergeCell ref="N6:O6"/>
    <mergeCell ref="E33:G33"/>
    <mergeCell ref="H33:I33"/>
    <mergeCell ref="D6:D7"/>
    <mergeCell ref="L44:M44"/>
    <mergeCell ref="J6:K6"/>
    <mergeCell ref="L6:M6"/>
    <mergeCell ref="B5:B7"/>
    <mergeCell ref="E45:G45"/>
    <mergeCell ref="H45:I45"/>
    <mergeCell ref="E43:G43"/>
    <mergeCell ref="E34:G34"/>
    <mergeCell ref="H34:I34"/>
    <mergeCell ref="J33:K33"/>
    <mergeCell ref="N56:O56"/>
    <mergeCell ref="N50:O50"/>
    <mergeCell ref="N51:O51"/>
    <mergeCell ref="N52:O52"/>
    <mergeCell ref="N53:O53"/>
    <mergeCell ref="L54:M54"/>
    <mergeCell ref="L50:M50"/>
    <mergeCell ref="L51:M51"/>
    <mergeCell ref="L52:M52"/>
    <mergeCell ref="L53:M53"/>
    <mergeCell ref="N49:O49"/>
    <mergeCell ref="L49:M49"/>
    <mergeCell ref="J43:K43"/>
    <mergeCell ref="N44:O44"/>
    <mergeCell ref="D47:P47"/>
    <mergeCell ref="H43:I43"/>
    <mergeCell ref="E44:G44"/>
    <mergeCell ref="J45:K45"/>
    <mergeCell ref="L45:M45"/>
    <mergeCell ref="N45:O45"/>
  </mergeCells>
  <phoneticPr fontId="1" type="noConversion"/>
  <pageMargins left="0.7" right="0.7" top="0.75" bottom="0.75" header="0.3" footer="0.3"/>
  <pageSetup paperSize="9" orientation="portrait" horizontalDpi="300" verticalDpi="300" r:id="rId1"/>
  <ignoredErrors>
    <ignoredError sqref="K29 M29 I22:I26 I29 N22:N26 M22:M26 M27:M28 K27:K28 I27:I28 K22:K26" 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78"/>
  <sheetViews>
    <sheetView tabSelected="1" zoomScale="85" zoomScaleNormal="85" workbookViewId="0">
      <pane ySplit="4" topLeftCell="A29" activePane="bottomLeft" state="frozen"/>
      <selection activeCell="O7" sqref="O7"/>
      <selection pane="bottomLeft" activeCell="AD59" sqref="AD59"/>
    </sheetView>
  </sheetViews>
  <sheetFormatPr defaultColWidth="10" defaultRowHeight="13.5"/>
  <cols>
    <col min="1" max="1" width="1.625" style="269" customWidth="1"/>
    <col min="2" max="2" width="4.375" style="249" bestFit="1" customWidth="1"/>
    <col min="3" max="3" width="16.875" style="273" customWidth="1"/>
    <col min="4" max="4" width="7.75" style="248" customWidth="1"/>
    <col min="5" max="5" width="7.625" style="248" customWidth="1"/>
    <col min="6" max="6" width="9" style="249" customWidth="1"/>
    <col min="7" max="7" width="8.625" style="249" customWidth="1"/>
    <col min="8" max="8" width="46.25" style="250" customWidth="1"/>
    <col min="9" max="9" width="7.25" style="249" bestFit="1" customWidth="1"/>
    <col min="10" max="10" width="15.125" style="274" customWidth="1"/>
    <col min="11" max="11" width="10.5" style="333" customWidth="1"/>
    <col min="12" max="12" width="8.875" style="330" customWidth="1"/>
    <col min="13" max="13" width="7.125" style="252" customWidth="1"/>
    <col min="14" max="14" width="48.25" style="253" customWidth="1"/>
    <col min="15" max="15" width="11.5" style="333" customWidth="1"/>
    <col min="16" max="16" width="8.875" style="330" customWidth="1"/>
    <col min="17" max="17" width="7.125" style="252" customWidth="1"/>
    <col min="18" max="18" width="48.25" style="252" customWidth="1"/>
    <col min="19" max="19" width="11.5" style="333" customWidth="1"/>
    <col min="20" max="20" width="8.875" style="330" customWidth="1"/>
    <col min="21" max="21" width="7.125" style="252" customWidth="1"/>
    <col min="22" max="22" width="48.25" style="252" customWidth="1"/>
    <col min="23" max="23" width="11.5" style="333" customWidth="1"/>
    <col min="24" max="24" width="8.875" style="330" customWidth="1"/>
    <col min="25" max="25" width="7.125" style="252" customWidth="1"/>
    <col min="26" max="26" width="48.25" style="252" customWidth="1"/>
    <col min="27" max="27" width="11.5" style="333" customWidth="1"/>
    <col min="28" max="28" width="8.875" style="330" customWidth="1"/>
    <col min="29" max="29" width="7.125" style="252" customWidth="1"/>
    <col min="30" max="30" width="48.25" style="252" customWidth="1"/>
    <col min="31" max="31" width="11.5" style="333" customWidth="1"/>
    <col min="32" max="32" width="8.875" style="330" customWidth="1"/>
    <col min="33" max="33" width="7.125" style="252" customWidth="1"/>
    <col min="34" max="34" width="48.25" style="253" customWidth="1"/>
    <col min="35" max="35" width="11.5" style="334" customWidth="1"/>
    <col min="36" max="36" width="8.875" style="330" customWidth="1"/>
    <col min="37" max="37" width="7.125" style="252" customWidth="1"/>
    <col min="38" max="38" width="48.25" style="253" customWidth="1"/>
    <col min="39" max="39" width="11.5" style="252" customWidth="1"/>
    <col min="40" max="40" width="10.125" style="269" customWidth="1"/>
    <col min="41" max="16384" width="10" style="269"/>
  </cols>
  <sheetData>
    <row r="1" spans="1:39" s="217" customFormat="1" ht="10.5" customHeight="1">
      <c r="B1" s="246"/>
      <c r="C1" s="247"/>
      <c r="D1" s="248"/>
      <c r="E1" s="248"/>
      <c r="F1" s="249"/>
      <c r="G1" s="249"/>
      <c r="H1" s="250"/>
      <c r="I1" s="249"/>
      <c r="J1" s="251"/>
      <c r="K1" s="333"/>
      <c r="L1" s="330"/>
      <c r="M1" s="252"/>
      <c r="N1" s="253"/>
      <c r="O1" s="333"/>
      <c r="P1" s="330"/>
      <c r="Q1" s="252"/>
      <c r="R1" s="252"/>
      <c r="S1" s="333"/>
      <c r="T1" s="330"/>
      <c r="U1" s="252"/>
      <c r="V1" s="252"/>
      <c r="W1" s="333"/>
      <c r="X1" s="330"/>
      <c r="Y1" s="252"/>
      <c r="Z1" s="252"/>
      <c r="AA1" s="333"/>
      <c r="AB1" s="330"/>
      <c r="AC1" s="252"/>
      <c r="AD1" s="252"/>
      <c r="AE1" s="333"/>
      <c r="AF1" s="330"/>
      <c r="AG1" s="252"/>
      <c r="AH1" s="253"/>
      <c r="AI1" s="334"/>
      <c r="AJ1" s="330"/>
      <c r="AK1" s="252"/>
      <c r="AL1" s="253"/>
      <c r="AM1" s="252"/>
    </row>
    <row r="2" spans="1:39" s="217" customFormat="1" ht="33.75" customHeight="1">
      <c r="A2" s="254" t="s">
        <v>73</v>
      </c>
      <c r="B2" s="215"/>
      <c r="C2" s="255"/>
      <c r="D2" s="256"/>
      <c r="E2" s="257"/>
      <c r="F2" s="257"/>
      <c r="G2" s="258"/>
      <c r="H2" s="257"/>
      <c r="I2" s="258"/>
      <c r="J2" s="259"/>
      <c r="K2" s="333"/>
      <c r="L2" s="330"/>
      <c r="M2" s="252"/>
      <c r="N2" s="253"/>
      <c r="O2" s="333"/>
      <c r="P2" s="330"/>
      <c r="Q2" s="252"/>
      <c r="R2" s="252"/>
      <c r="S2" s="333"/>
      <c r="T2" s="330"/>
      <c r="U2" s="252"/>
      <c r="V2" s="252"/>
      <c r="W2" s="333"/>
      <c r="X2" s="330"/>
      <c r="Y2" s="252"/>
      <c r="Z2" s="252"/>
      <c r="AA2" s="333"/>
      <c r="AB2" s="330"/>
      <c r="AC2" s="252"/>
      <c r="AD2" s="252"/>
      <c r="AE2" s="333"/>
      <c r="AF2" s="330"/>
      <c r="AG2" s="252"/>
      <c r="AH2" s="253"/>
      <c r="AI2" s="334"/>
      <c r="AJ2" s="330"/>
      <c r="AK2" s="252"/>
      <c r="AL2" s="252"/>
      <c r="AM2" s="252"/>
    </row>
    <row r="3" spans="1:39" s="260" customFormat="1" ht="23.25" customHeight="1">
      <c r="B3" s="361" t="s">
        <v>25</v>
      </c>
      <c r="C3" s="365" t="s">
        <v>117</v>
      </c>
      <c r="D3" s="361" t="s">
        <v>51</v>
      </c>
      <c r="E3" s="361" t="s">
        <v>52</v>
      </c>
      <c r="F3" s="363" t="s">
        <v>53</v>
      </c>
      <c r="G3" s="361" t="s">
        <v>140</v>
      </c>
      <c r="H3" s="362" t="s">
        <v>54</v>
      </c>
      <c r="I3" s="361" t="s">
        <v>127</v>
      </c>
      <c r="J3" s="362" t="s">
        <v>138</v>
      </c>
      <c r="K3" s="363" t="s">
        <v>74</v>
      </c>
      <c r="L3" s="367" t="s">
        <v>178</v>
      </c>
      <c r="M3" s="368"/>
      <c r="N3" s="368"/>
      <c r="O3" s="369"/>
      <c r="P3" s="367" t="s">
        <v>179</v>
      </c>
      <c r="Q3" s="368"/>
      <c r="R3" s="368"/>
      <c r="S3" s="369"/>
      <c r="T3" s="367" t="s">
        <v>180</v>
      </c>
      <c r="U3" s="368"/>
      <c r="V3" s="368"/>
      <c r="W3" s="369"/>
      <c r="X3" s="367" t="s">
        <v>181</v>
      </c>
      <c r="Y3" s="368"/>
      <c r="Z3" s="368"/>
      <c r="AA3" s="369"/>
      <c r="AB3" s="367" t="s">
        <v>194</v>
      </c>
      <c r="AC3" s="368"/>
      <c r="AD3" s="368"/>
      <c r="AE3" s="369"/>
      <c r="AF3" s="367" t="s">
        <v>183</v>
      </c>
      <c r="AG3" s="368"/>
      <c r="AH3" s="368"/>
      <c r="AI3" s="369"/>
      <c r="AJ3" s="367" t="s">
        <v>184</v>
      </c>
      <c r="AK3" s="368"/>
      <c r="AL3" s="368"/>
      <c r="AM3" s="369"/>
    </row>
    <row r="4" spans="1:39" s="261" customFormat="1" ht="24.75" customHeight="1">
      <c r="B4" s="361"/>
      <c r="C4" s="366"/>
      <c r="D4" s="361"/>
      <c r="E4" s="361"/>
      <c r="F4" s="364"/>
      <c r="G4" s="361"/>
      <c r="H4" s="362"/>
      <c r="I4" s="361"/>
      <c r="J4" s="362"/>
      <c r="K4" s="364"/>
      <c r="L4" s="331" t="s">
        <v>26</v>
      </c>
      <c r="M4" s="223" t="s">
        <v>27</v>
      </c>
      <c r="N4" s="262" t="s">
        <v>170</v>
      </c>
      <c r="O4" s="223" t="s">
        <v>3</v>
      </c>
      <c r="P4" s="331" t="s">
        <v>26</v>
      </c>
      <c r="Q4" s="223" t="s">
        <v>27</v>
      </c>
      <c r="R4" s="263" t="s">
        <v>170</v>
      </c>
      <c r="S4" s="223" t="s">
        <v>3</v>
      </c>
      <c r="T4" s="331" t="s">
        <v>26</v>
      </c>
      <c r="U4" s="223" t="s">
        <v>27</v>
      </c>
      <c r="V4" s="263" t="s">
        <v>170</v>
      </c>
      <c r="W4" s="223" t="s">
        <v>3</v>
      </c>
      <c r="X4" s="331" t="s">
        <v>26</v>
      </c>
      <c r="Y4" s="223" t="s">
        <v>27</v>
      </c>
      <c r="Z4" s="263" t="s">
        <v>170</v>
      </c>
      <c r="AA4" s="223" t="s">
        <v>3</v>
      </c>
      <c r="AB4" s="331" t="s">
        <v>26</v>
      </c>
      <c r="AC4" s="223" t="s">
        <v>27</v>
      </c>
      <c r="AD4" s="263" t="s">
        <v>170</v>
      </c>
      <c r="AE4" s="223" t="s">
        <v>3</v>
      </c>
      <c r="AF4" s="331" t="s">
        <v>26</v>
      </c>
      <c r="AG4" s="223" t="s">
        <v>27</v>
      </c>
      <c r="AH4" s="262" t="s">
        <v>170</v>
      </c>
      <c r="AI4" s="223" t="s">
        <v>3</v>
      </c>
      <c r="AJ4" s="331" t="s">
        <v>26</v>
      </c>
      <c r="AK4" s="223" t="s">
        <v>27</v>
      </c>
      <c r="AL4" s="263" t="s">
        <v>170</v>
      </c>
      <c r="AM4" s="223" t="s">
        <v>3</v>
      </c>
    </row>
    <row r="5" spans="1:39" s="264" customFormat="1" ht="30" customHeight="1">
      <c r="B5" s="283">
        <v>1</v>
      </c>
      <c r="C5" s="284" t="str">
        <f t="shared" ref="C5:C36" si="0">IF($B5="","",CONCATENATE("TC-EIF-MSG-",$B5))</f>
        <v>TC-EIF-MSG-1</v>
      </c>
      <c r="D5" s="286" t="s">
        <v>126</v>
      </c>
      <c r="E5" s="286">
        <v>0</v>
      </c>
      <c r="F5" s="288" t="s">
        <v>171</v>
      </c>
      <c r="G5" s="286" t="s">
        <v>141</v>
      </c>
      <c r="H5" s="268" t="s">
        <v>174</v>
      </c>
      <c r="I5" s="286" t="s">
        <v>128</v>
      </c>
      <c r="J5" s="272"/>
      <c r="K5" s="169"/>
      <c r="L5" s="324"/>
      <c r="M5" s="169" t="s">
        <v>34</v>
      </c>
      <c r="N5" s="209"/>
      <c r="O5" s="169"/>
      <c r="P5" s="324"/>
      <c r="Q5" s="169" t="s">
        <v>34</v>
      </c>
      <c r="R5" s="209"/>
      <c r="S5" s="169"/>
      <c r="T5" s="324"/>
      <c r="U5" s="169" t="s">
        <v>34</v>
      </c>
      <c r="V5" s="209"/>
      <c r="W5" s="169"/>
      <c r="X5" s="324"/>
      <c r="Y5" s="169" t="s">
        <v>34</v>
      </c>
      <c r="Z5" s="209"/>
      <c r="AA5" s="169"/>
      <c r="AB5" s="324"/>
      <c r="AC5" s="169" t="s">
        <v>34</v>
      </c>
      <c r="AD5" s="209"/>
      <c r="AE5" s="169"/>
      <c r="AF5" s="324"/>
      <c r="AG5" s="169" t="s">
        <v>34</v>
      </c>
      <c r="AH5" s="209"/>
      <c r="AI5" s="169"/>
      <c r="AJ5" s="324"/>
      <c r="AK5" s="169" t="s">
        <v>34</v>
      </c>
      <c r="AL5" s="209"/>
      <c r="AM5" s="169"/>
    </row>
    <row r="6" spans="1:39" s="264" customFormat="1" ht="30" customHeight="1">
      <c r="B6" s="283" t="str">
        <f>IF(OR(M6="-",M6="N/A"),"",COUNTA(M$5:M6)-(COUNTIF((M$5:M6),"-")+COUNTIF((M$5:M6),"N/A"))+COUNTIF((M$5:M6),""))</f>
        <v/>
      </c>
      <c r="C6" s="284" t="str">
        <f>IF($B6="","",CONCATENATE("TC-EIF-MSG-",$B6))</f>
        <v/>
      </c>
      <c r="D6" s="290">
        <v>1</v>
      </c>
      <c r="E6" s="291"/>
      <c r="F6" s="290"/>
      <c r="G6" s="290"/>
      <c r="H6" s="292" t="s">
        <v>28</v>
      </c>
      <c r="I6" s="305"/>
      <c r="J6" s="271"/>
      <c r="K6" s="170"/>
      <c r="L6" s="332" t="s">
        <v>43</v>
      </c>
      <c r="M6" s="170" t="s">
        <v>43</v>
      </c>
      <c r="N6" s="208"/>
      <c r="O6" s="170"/>
      <c r="P6" s="332" t="s">
        <v>43</v>
      </c>
      <c r="Q6" s="170" t="s">
        <v>43</v>
      </c>
      <c r="R6" s="208"/>
      <c r="S6" s="170"/>
      <c r="T6" s="325" t="s">
        <v>43</v>
      </c>
      <c r="U6" s="276" t="s">
        <v>43</v>
      </c>
      <c r="V6" s="280"/>
      <c r="W6" s="170"/>
      <c r="X6" s="332" t="s">
        <v>43</v>
      </c>
      <c r="Y6" s="170" t="s">
        <v>43</v>
      </c>
      <c r="Z6" s="208"/>
      <c r="AA6" s="170"/>
      <c r="AB6" s="332" t="s">
        <v>43</v>
      </c>
      <c r="AC6" s="170" t="s">
        <v>43</v>
      </c>
      <c r="AD6" s="208"/>
      <c r="AE6" s="170"/>
      <c r="AF6" s="332"/>
      <c r="AG6" s="170" t="s">
        <v>43</v>
      </c>
      <c r="AH6" s="266"/>
      <c r="AI6" s="170"/>
      <c r="AJ6" s="332"/>
      <c r="AK6" s="170" t="s">
        <v>43</v>
      </c>
      <c r="AL6" s="266"/>
      <c r="AM6" s="170"/>
    </row>
    <row r="7" spans="1:39" s="264" customFormat="1" ht="30" customHeight="1">
      <c r="B7" s="283">
        <f>B5+1</f>
        <v>2</v>
      </c>
      <c r="C7" s="284" t="str">
        <f t="shared" si="0"/>
        <v>TC-EIF-MSG-2</v>
      </c>
      <c r="D7" s="285">
        <v>1</v>
      </c>
      <c r="E7" s="285">
        <v>1</v>
      </c>
      <c r="F7" s="233" t="s">
        <v>171</v>
      </c>
      <c r="G7" s="285" t="s">
        <v>141</v>
      </c>
      <c r="H7" s="265" t="s">
        <v>200</v>
      </c>
      <c r="I7" s="285" t="s">
        <v>129</v>
      </c>
      <c r="J7" s="270"/>
      <c r="K7" s="168"/>
      <c r="L7" s="326"/>
      <c r="M7" s="168" t="s">
        <v>177</v>
      </c>
      <c r="N7" s="207"/>
      <c r="O7" s="168"/>
      <c r="P7" s="326"/>
      <c r="Q7" s="168" t="s">
        <v>177</v>
      </c>
      <c r="R7" s="207"/>
      <c r="S7" s="168"/>
      <c r="T7" s="326"/>
      <c r="U7" s="168" t="s">
        <v>177</v>
      </c>
      <c r="V7" s="207"/>
      <c r="W7" s="168"/>
      <c r="X7" s="326"/>
      <c r="Y7" s="168" t="s">
        <v>177</v>
      </c>
      <c r="Z7" s="207"/>
      <c r="AA7" s="168"/>
      <c r="AB7" s="326"/>
      <c r="AC7" s="168" t="s">
        <v>177</v>
      </c>
      <c r="AD7" s="207"/>
      <c r="AE7" s="168"/>
      <c r="AF7" s="326"/>
      <c r="AG7" s="168" t="s">
        <v>177</v>
      </c>
      <c r="AH7" s="207"/>
      <c r="AI7" s="168"/>
      <c r="AJ7" s="326"/>
      <c r="AK7" s="168" t="s">
        <v>177</v>
      </c>
      <c r="AL7" s="207"/>
      <c r="AM7" s="168"/>
    </row>
    <row r="8" spans="1:39" s="264" customFormat="1" ht="30" customHeight="1">
      <c r="B8" s="283">
        <f>B7+1</f>
        <v>3</v>
      </c>
      <c r="C8" s="284" t="str">
        <f t="shared" si="0"/>
        <v>TC-EIF-MSG-3</v>
      </c>
      <c r="D8" s="285">
        <v>1</v>
      </c>
      <c r="E8" s="285">
        <v>2</v>
      </c>
      <c r="F8" s="233" t="s">
        <v>171</v>
      </c>
      <c r="G8" s="285" t="s">
        <v>141</v>
      </c>
      <c r="H8" s="265" t="s">
        <v>199</v>
      </c>
      <c r="I8" s="285" t="s">
        <v>129</v>
      </c>
      <c r="J8" s="270"/>
      <c r="K8" s="168"/>
      <c r="L8" s="326"/>
      <c r="M8" s="168" t="s">
        <v>177</v>
      </c>
      <c r="N8" s="207"/>
      <c r="O8" s="168"/>
      <c r="P8" s="326"/>
      <c r="Q8" s="168" t="s">
        <v>177</v>
      </c>
      <c r="R8" s="207"/>
      <c r="S8" s="168"/>
      <c r="T8" s="326"/>
      <c r="U8" s="168" t="s">
        <v>177</v>
      </c>
      <c r="V8" s="207"/>
      <c r="W8" s="168"/>
      <c r="X8" s="326"/>
      <c r="Y8" s="168" t="s">
        <v>177</v>
      </c>
      <c r="Z8" s="207"/>
      <c r="AA8" s="168"/>
      <c r="AB8" s="326"/>
      <c r="AC8" s="168" t="s">
        <v>177</v>
      </c>
      <c r="AD8" s="207"/>
      <c r="AE8" s="168"/>
      <c r="AF8" s="326"/>
      <c r="AG8" s="168" t="s">
        <v>177</v>
      </c>
      <c r="AH8" s="207"/>
      <c r="AI8" s="168"/>
      <c r="AJ8" s="326"/>
      <c r="AK8" s="168" t="s">
        <v>177</v>
      </c>
      <c r="AL8" s="207"/>
      <c r="AM8" s="168"/>
    </row>
    <row r="9" spans="1:39" s="264" customFormat="1" ht="30" customHeight="1">
      <c r="B9" s="283">
        <f t="shared" ref="B9:B10" si="1">B8+1</f>
        <v>4</v>
      </c>
      <c r="C9" s="284" t="str">
        <f t="shared" si="0"/>
        <v>TC-EIF-MSG-4</v>
      </c>
      <c r="D9" s="285">
        <v>1</v>
      </c>
      <c r="E9" s="285">
        <v>3</v>
      </c>
      <c r="F9" s="235" t="s">
        <v>172</v>
      </c>
      <c r="G9" s="285" t="s">
        <v>141</v>
      </c>
      <c r="H9" s="265" t="s">
        <v>201</v>
      </c>
      <c r="I9" s="285" t="s">
        <v>129</v>
      </c>
      <c r="J9" s="270"/>
      <c r="K9" s="168"/>
      <c r="L9" s="326"/>
      <c r="M9" s="168" t="s">
        <v>177</v>
      </c>
      <c r="N9" s="207"/>
      <c r="O9" s="168"/>
      <c r="P9" s="326"/>
      <c r="Q9" s="168" t="s">
        <v>177</v>
      </c>
      <c r="R9" s="207"/>
      <c r="S9" s="168"/>
      <c r="T9" s="326"/>
      <c r="U9" s="168" t="s">
        <v>177</v>
      </c>
      <c r="V9" s="207"/>
      <c r="W9" s="168"/>
      <c r="X9" s="326"/>
      <c r="Y9" s="168" t="s">
        <v>177</v>
      </c>
      <c r="Z9" s="207"/>
      <c r="AA9" s="168"/>
      <c r="AB9" s="326"/>
      <c r="AC9" s="168" t="s">
        <v>177</v>
      </c>
      <c r="AD9" s="207"/>
      <c r="AE9" s="168"/>
      <c r="AF9" s="326"/>
      <c r="AG9" s="168" t="s">
        <v>177</v>
      </c>
      <c r="AH9" s="207"/>
      <c r="AI9" s="168"/>
      <c r="AJ9" s="326"/>
      <c r="AK9" s="168" t="s">
        <v>177</v>
      </c>
      <c r="AL9" s="207"/>
      <c r="AM9" s="168"/>
    </row>
    <row r="10" spans="1:39" s="264" customFormat="1" ht="30" customHeight="1">
      <c r="B10" s="283">
        <f t="shared" si="1"/>
        <v>5</v>
      </c>
      <c r="C10" s="284" t="str">
        <f t="shared" si="0"/>
        <v>TC-EIF-MSG-5</v>
      </c>
      <c r="D10" s="285">
        <v>1</v>
      </c>
      <c r="E10" s="285">
        <v>4</v>
      </c>
      <c r="F10" s="287" t="s">
        <v>173</v>
      </c>
      <c r="G10" s="285" t="s">
        <v>141</v>
      </c>
      <c r="H10" s="265" t="s">
        <v>202</v>
      </c>
      <c r="I10" s="285" t="s">
        <v>129</v>
      </c>
      <c r="J10" s="270"/>
      <c r="K10" s="168"/>
      <c r="L10" s="326"/>
      <c r="M10" s="168" t="s">
        <v>177</v>
      </c>
      <c r="N10" s="207"/>
      <c r="O10" s="168"/>
      <c r="P10" s="326"/>
      <c r="Q10" s="168" t="s">
        <v>177</v>
      </c>
      <c r="R10" s="207"/>
      <c r="S10" s="168"/>
      <c r="T10" s="326"/>
      <c r="U10" s="168" t="s">
        <v>177</v>
      </c>
      <c r="V10" s="207"/>
      <c r="W10" s="168"/>
      <c r="X10" s="326"/>
      <c r="Y10" s="168" t="s">
        <v>177</v>
      </c>
      <c r="Z10" s="207"/>
      <c r="AA10" s="168"/>
      <c r="AB10" s="326"/>
      <c r="AC10" s="168" t="s">
        <v>177</v>
      </c>
      <c r="AD10" s="207"/>
      <c r="AE10" s="168"/>
      <c r="AF10" s="326"/>
      <c r="AG10" s="168" t="s">
        <v>177</v>
      </c>
      <c r="AH10" s="207"/>
      <c r="AI10" s="168"/>
      <c r="AJ10" s="326"/>
      <c r="AK10" s="168" t="s">
        <v>177</v>
      </c>
      <c r="AL10" s="207"/>
      <c r="AM10" s="168"/>
    </row>
    <row r="11" spans="1:39" s="264" customFormat="1" ht="30" customHeight="1">
      <c r="B11" s="283" t="str">
        <f>IF(OR(M11="-",M11="N/A"),"",COUNTA(M$5:M11)-(COUNTIF((M$5:M11),"-")+COUNTIF((M$5:M11),"N/A"))+COUNTIF((M$5:M11),""))</f>
        <v/>
      </c>
      <c r="C11" s="284" t="str">
        <f t="shared" si="0"/>
        <v/>
      </c>
      <c r="D11" s="290">
        <v>2</v>
      </c>
      <c r="E11" s="290"/>
      <c r="F11" s="290"/>
      <c r="G11" s="290"/>
      <c r="H11" s="292" t="s">
        <v>29</v>
      </c>
      <c r="I11" s="305"/>
      <c r="J11" s="271"/>
      <c r="K11" s="170"/>
      <c r="L11" s="332" t="s">
        <v>43</v>
      </c>
      <c r="M11" s="170" t="s">
        <v>43</v>
      </c>
      <c r="N11" s="208"/>
      <c r="O11" s="170"/>
      <c r="P11" s="332" t="s">
        <v>43</v>
      </c>
      <c r="Q11" s="170" t="s">
        <v>43</v>
      </c>
      <c r="R11" s="170"/>
      <c r="S11" s="170"/>
      <c r="T11" s="325" t="s">
        <v>43</v>
      </c>
      <c r="U11" s="276" t="s">
        <v>43</v>
      </c>
      <c r="V11" s="276"/>
      <c r="W11" s="170"/>
      <c r="X11" s="332" t="s">
        <v>43</v>
      </c>
      <c r="Y11" s="170" t="s">
        <v>43</v>
      </c>
      <c r="Z11" s="170"/>
      <c r="AA11" s="170"/>
      <c r="AB11" s="332" t="s">
        <v>43</v>
      </c>
      <c r="AC11" s="170" t="s">
        <v>43</v>
      </c>
      <c r="AD11" s="208"/>
      <c r="AE11" s="170"/>
      <c r="AF11" s="332"/>
      <c r="AG11" s="170" t="s">
        <v>43</v>
      </c>
      <c r="AH11" s="266"/>
      <c r="AI11" s="170"/>
      <c r="AJ11" s="332"/>
      <c r="AK11" s="170" t="s">
        <v>43</v>
      </c>
      <c r="AL11" s="266"/>
      <c r="AM11" s="170"/>
    </row>
    <row r="12" spans="1:39" s="264" customFormat="1" ht="30" customHeight="1">
      <c r="B12" s="283">
        <f>IF(OR(M12="-",M12="N/A"),"",COUNTA(M$5:M12)-(COUNTIF((M$5:M12),"-")+COUNTIF((M$5:M12),"N/A"))+COUNTIF((M$5:M12),""))</f>
        <v>5</v>
      </c>
      <c r="C12" s="284" t="str">
        <f t="shared" si="0"/>
        <v>TC-EIF-MSG-5</v>
      </c>
      <c r="D12" s="285">
        <v>2</v>
      </c>
      <c r="E12" s="285">
        <v>3</v>
      </c>
      <c r="F12" s="235" t="s">
        <v>172</v>
      </c>
      <c r="G12" s="285" t="s">
        <v>141</v>
      </c>
      <c r="H12" s="265" t="s">
        <v>203</v>
      </c>
      <c r="I12" s="285" t="s">
        <v>129</v>
      </c>
      <c r="J12" s="270"/>
      <c r="K12" s="168"/>
      <c r="L12" s="326"/>
      <c r="M12" s="168" t="s">
        <v>177</v>
      </c>
      <c r="N12" s="207"/>
      <c r="O12" s="168"/>
      <c r="P12" s="326"/>
      <c r="Q12" s="168" t="s">
        <v>177</v>
      </c>
      <c r="R12" s="207"/>
      <c r="S12" s="168"/>
      <c r="T12" s="326"/>
      <c r="U12" s="168" t="s">
        <v>177</v>
      </c>
      <c r="V12" s="207"/>
      <c r="W12" s="168"/>
      <c r="X12" s="326"/>
      <c r="Y12" s="168" t="s">
        <v>177</v>
      </c>
      <c r="Z12" s="207"/>
      <c r="AA12" s="168"/>
      <c r="AB12" s="326"/>
      <c r="AC12" s="168" t="s">
        <v>177</v>
      </c>
      <c r="AD12" s="207"/>
      <c r="AE12" s="168"/>
      <c r="AF12" s="326"/>
      <c r="AG12" s="168" t="s">
        <v>177</v>
      </c>
      <c r="AH12" s="207"/>
      <c r="AI12" s="168"/>
      <c r="AJ12" s="326"/>
      <c r="AK12" s="168" t="s">
        <v>177</v>
      </c>
      <c r="AL12" s="207"/>
      <c r="AM12" s="168"/>
    </row>
    <row r="13" spans="1:39" s="264" customFormat="1" ht="30" customHeight="1">
      <c r="B13" s="283">
        <f>B12+1</f>
        <v>6</v>
      </c>
      <c r="C13" s="284" t="str">
        <f t="shared" si="0"/>
        <v>TC-EIF-MSG-6</v>
      </c>
      <c r="D13" s="285">
        <v>2</v>
      </c>
      <c r="E13" s="285">
        <v>4</v>
      </c>
      <c r="F13" s="287" t="s">
        <v>173</v>
      </c>
      <c r="G13" s="285" t="s">
        <v>141</v>
      </c>
      <c r="H13" s="265" t="s">
        <v>204</v>
      </c>
      <c r="I13" s="285" t="s">
        <v>129</v>
      </c>
      <c r="J13" s="270"/>
      <c r="K13" s="168"/>
      <c r="L13" s="326"/>
      <c r="M13" s="168" t="s">
        <v>177</v>
      </c>
      <c r="N13" s="207"/>
      <c r="O13" s="168"/>
      <c r="P13" s="326"/>
      <c r="Q13" s="168" t="s">
        <v>177</v>
      </c>
      <c r="R13" s="207"/>
      <c r="S13" s="168"/>
      <c r="T13" s="326"/>
      <c r="U13" s="168" t="s">
        <v>177</v>
      </c>
      <c r="V13" s="207"/>
      <c r="W13" s="168"/>
      <c r="X13" s="326"/>
      <c r="Y13" s="168" t="s">
        <v>177</v>
      </c>
      <c r="Z13" s="207"/>
      <c r="AA13" s="168"/>
      <c r="AB13" s="326"/>
      <c r="AC13" s="168" t="s">
        <v>177</v>
      </c>
      <c r="AD13" s="207"/>
      <c r="AE13" s="168"/>
      <c r="AF13" s="326"/>
      <c r="AG13" s="168" t="s">
        <v>177</v>
      </c>
      <c r="AH13" s="207"/>
      <c r="AI13" s="168"/>
      <c r="AJ13" s="326"/>
      <c r="AK13" s="168" t="s">
        <v>177</v>
      </c>
      <c r="AL13" s="207"/>
      <c r="AM13" s="168"/>
    </row>
    <row r="14" spans="1:39" s="264" customFormat="1" ht="30" customHeight="1">
      <c r="B14" s="283">
        <f>B13+1</f>
        <v>7</v>
      </c>
      <c r="C14" s="284" t="str">
        <f t="shared" si="0"/>
        <v>TC-EIF-MSG-7</v>
      </c>
      <c r="D14" s="285">
        <v>2</v>
      </c>
      <c r="E14" s="285">
        <v>17</v>
      </c>
      <c r="F14" s="233" t="s">
        <v>171</v>
      </c>
      <c r="G14" s="285" t="s">
        <v>12</v>
      </c>
      <c r="H14" s="265" t="s">
        <v>30</v>
      </c>
      <c r="I14" s="285" t="s">
        <v>129</v>
      </c>
      <c r="J14" s="270"/>
      <c r="K14" s="168"/>
      <c r="L14" s="326"/>
      <c r="M14" s="168" t="s">
        <v>177</v>
      </c>
      <c r="N14" s="207"/>
      <c r="O14" s="168"/>
      <c r="P14" s="326"/>
      <c r="Q14" s="168" t="s">
        <v>177</v>
      </c>
      <c r="R14" s="207"/>
      <c r="S14" s="168"/>
      <c r="T14" s="326"/>
      <c r="U14" s="168" t="s">
        <v>177</v>
      </c>
      <c r="V14" s="207"/>
      <c r="W14" s="168"/>
      <c r="X14" s="326"/>
      <c r="Y14" s="168" t="s">
        <v>177</v>
      </c>
      <c r="Z14" s="207"/>
      <c r="AA14" s="168"/>
      <c r="AB14" s="326"/>
      <c r="AC14" s="168" t="s">
        <v>177</v>
      </c>
      <c r="AD14" s="207"/>
      <c r="AE14" s="168"/>
      <c r="AF14" s="326"/>
      <c r="AG14" s="168" t="s">
        <v>177</v>
      </c>
      <c r="AH14" s="207"/>
      <c r="AI14" s="168"/>
      <c r="AJ14" s="326"/>
      <c r="AK14" s="168" t="s">
        <v>177</v>
      </c>
      <c r="AL14" s="207"/>
      <c r="AM14" s="168"/>
    </row>
    <row r="15" spans="1:39" s="264" customFormat="1" ht="30" customHeight="1">
      <c r="B15" s="283">
        <f t="shared" ref="B15:B17" si="2">B14+1</f>
        <v>8</v>
      </c>
      <c r="C15" s="284" t="str">
        <f t="shared" si="0"/>
        <v>TC-EIF-MSG-8</v>
      </c>
      <c r="D15" s="285">
        <v>2</v>
      </c>
      <c r="E15" s="285">
        <v>18</v>
      </c>
      <c r="F15" s="233" t="s">
        <v>171</v>
      </c>
      <c r="G15" s="285" t="s">
        <v>12</v>
      </c>
      <c r="H15" s="265" t="s">
        <v>31</v>
      </c>
      <c r="I15" s="285" t="s">
        <v>129</v>
      </c>
      <c r="J15" s="270"/>
      <c r="K15" s="168"/>
      <c r="L15" s="326"/>
      <c r="M15" s="168" t="s">
        <v>177</v>
      </c>
      <c r="N15" s="207"/>
      <c r="O15" s="168"/>
      <c r="P15" s="326"/>
      <c r="Q15" s="168" t="s">
        <v>177</v>
      </c>
      <c r="R15" s="207"/>
      <c r="S15" s="168"/>
      <c r="T15" s="326"/>
      <c r="U15" s="168" t="s">
        <v>177</v>
      </c>
      <c r="V15" s="207"/>
      <c r="W15" s="168"/>
      <c r="X15" s="326"/>
      <c r="Y15" s="168" t="s">
        <v>177</v>
      </c>
      <c r="Z15" s="207"/>
      <c r="AA15" s="168"/>
      <c r="AB15" s="326"/>
      <c r="AC15" s="168" t="s">
        <v>177</v>
      </c>
      <c r="AD15" s="207"/>
      <c r="AE15" s="168"/>
      <c r="AF15" s="326"/>
      <c r="AG15" s="168" t="s">
        <v>177</v>
      </c>
      <c r="AH15" s="207"/>
      <c r="AI15" s="168"/>
      <c r="AJ15" s="326"/>
      <c r="AK15" s="168" t="s">
        <v>177</v>
      </c>
      <c r="AL15" s="207"/>
      <c r="AM15" s="168"/>
    </row>
    <row r="16" spans="1:39" s="264" customFormat="1" ht="30" customHeight="1">
      <c r="B16" s="283">
        <f t="shared" si="2"/>
        <v>9</v>
      </c>
      <c r="C16" s="284" t="str">
        <f t="shared" si="0"/>
        <v>TC-EIF-MSG-9</v>
      </c>
      <c r="D16" s="286">
        <v>2</v>
      </c>
      <c r="E16" s="286">
        <v>23</v>
      </c>
      <c r="F16" s="288" t="s">
        <v>172</v>
      </c>
      <c r="G16" s="286" t="s">
        <v>12</v>
      </c>
      <c r="H16" s="268" t="s">
        <v>32</v>
      </c>
      <c r="I16" s="286" t="s">
        <v>129</v>
      </c>
      <c r="J16" s="272"/>
      <c r="K16" s="169"/>
      <c r="L16" s="324"/>
      <c r="M16" s="169" t="s">
        <v>34</v>
      </c>
      <c r="N16" s="209"/>
      <c r="O16" s="169"/>
      <c r="P16" s="324"/>
      <c r="Q16" s="169" t="s">
        <v>34</v>
      </c>
      <c r="R16" s="169"/>
      <c r="S16" s="169"/>
      <c r="T16" s="327"/>
      <c r="U16" s="278" t="s">
        <v>34</v>
      </c>
      <c r="V16" s="279"/>
      <c r="W16" s="169"/>
      <c r="X16" s="324"/>
      <c r="Y16" s="169" t="s">
        <v>34</v>
      </c>
      <c r="Z16" s="209"/>
      <c r="AA16" s="169"/>
      <c r="AB16" s="324"/>
      <c r="AC16" s="169" t="s">
        <v>34</v>
      </c>
      <c r="AD16" s="209"/>
      <c r="AE16" s="169"/>
      <c r="AF16" s="324"/>
      <c r="AG16" s="169" t="s">
        <v>34</v>
      </c>
      <c r="AH16" s="267"/>
      <c r="AI16" s="169"/>
      <c r="AJ16" s="324"/>
      <c r="AK16" s="169" t="s">
        <v>34</v>
      </c>
      <c r="AL16" s="267"/>
      <c r="AM16" s="169"/>
    </row>
    <row r="17" spans="2:39" s="264" customFormat="1" ht="30" customHeight="1">
      <c r="B17" s="283">
        <f t="shared" si="2"/>
        <v>10</v>
      </c>
      <c r="C17" s="284" t="str">
        <f t="shared" si="0"/>
        <v>TC-EIF-MSG-10</v>
      </c>
      <c r="D17" s="286">
        <v>2</v>
      </c>
      <c r="E17" s="286">
        <v>24</v>
      </c>
      <c r="F17" s="293" t="s">
        <v>173</v>
      </c>
      <c r="G17" s="286" t="s">
        <v>12</v>
      </c>
      <c r="H17" s="268" t="s">
        <v>33</v>
      </c>
      <c r="I17" s="286" t="s">
        <v>129</v>
      </c>
      <c r="J17" s="272"/>
      <c r="K17" s="169"/>
      <c r="L17" s="324"/>
      <c r="M17" s="169" t="s">
        <v>34</v>
      </c>
      <c r="N17" s="209"/>
      <c r="O17" s="169"/>
      <c r="P17" s="324"/>
      <c r="Q17" s="169" t="s">
        <v>34</v>
      </c>
      <c r="R17" s="169"/>
      <c r="S17" s="169"/>
      <c r="T17" s="327"/>
      <c r="U17" s="278" t="s">
        <v>34</v>
      </c>
      <c r="V17" s="279"/>
      <c r="W17" s="169"/>
      <c r="X17" s="324"/>
      <c r="Y17" s="169" t="s">
        <v>34</v>
      </c>
      <c r="Z17" s="209"/>
      <c r="AA17" s="169"/>
      <c r="AB17" s="324"/>
      <c r="AC17" s="169" t="s">
        <v>34</v>
      </c>
      <c r="AD17" s="209"/>
      <c r="AE17" s="169"/>
      <c r="AF17" s="324"/>
      <c r="AG17" s="169" t="s">
        <v>34</v>
      </c>
      <c r="AH17" s="267"/>
      <c r="AI17" s="169"/>
      <c r="AJ17" s="324"/>
      <c r="AK17" s="169" t="s">
        <v>34</v>
      </c>
      <c r="AL17" s="267"/>
      <c r="AM17" s="169"/>
    </row>
    <row r="18" spans="2:39" s="264" customFormat="1" ht="30" customHeight="1">
      <c r="B18" s="283">
        <f>B17+1</f>
        <v>11</v>
      </c>
      <c r="C18" s="284" t="str">
        <f t="shared" si="0"/>
        <v>TC-EIF-MSG-11</v>
      </c>
      <c r="D18" s="285">
        <v>2</v>
      </c>
      <c r="E18" s="285">
        <v>31</v>
      </c>
      <c r="F18" s="233" t="s">
        <v>172</v>
      </c>
      <c r="G18" s="285" t="s">
        <v>141</v>
      </c>
      <c r="H18" s="265" t="s">
        <v>205</v>
      </c>
      <c r="I18" s="285" t="s">
        <v>129</v>
      </c>
      <c r="J18" s="270"/>
      <c r="K18" s="168"/>
      <c r="L18" s="326"/>
      <c r="M18" s="168" t="s">
        <v>177</v>
      </c>
      <c r="N18" s="207"/>
      <c r="O18" s="168"/>
      <c r="P18" s="326"/>
      <c r="Q18" s="168" t="s">
        <v>177</v>
      </c>
      <c r="R18" s="207"/>
      <c r="S18" s="168"/>
      <c r="T18" s="326"/>
      <c r="U18" s="168" t="s">
        <v>177</v>
      </c>
      <c r="V18" s="207"/>
      <c r="W18" s="168"/>
      <c r="X18" s="326"/>
      <c r="Y18" s="168" t="s">
        <v>177</v>
      </c>
      <c r="Z18" s="207"/>
      <c r="AA18" s="168"/>
      <c r="AB18" s="326"/>
      <c r="AC18" s="168" t="s">
        <v>177</v>
      </c>
      <c r="AD18" s="207"/>
      <c r="AE18" s="168"/>
      <c r="AF18" s="326"/>
      <c r="AG18" s="168" t="s">
        <v>177</v>
      </c>
      <c r="AH18" s="207"/>
      <c r="AI18" s="168"/>
      <c r="AJ18" s="326"/>
      <c r="AK18" s="168" t="s">
        <v>177</v>
      </c>
      <c r="AL18" s="207"/>
      <c r="AM18" s="168"/>
    </row>
    <row r="19" spans="2:39" s="264" customFormat="1" ht="30" customHeight="1">
      <c r="B19" s="283">
        <f t="shared" ref="B19:B30" si="3">B18+1</f>
        <v>12</v>
      </c>
      <c r="C19" s="284" t="str">
        <f t="shared" si="0"/>
        <v>TC-EIF-MSG-12</v>
      </c>
      <c r="D19" s="285">
        <v>2</v>
      </c>
      <c r="E19" s="285">
        <v>32</v>
      </c>
      <c r="F19" s="233" t="s">
        <v>173</v>
      </c>
      <c r="G19" s="285" t="s">
        <v>141</v>
      </c>
      <c r="H19" s="265" t="s">
        <v>206</v>
      </c>
      <c r="I19" s="285" t="s">
        <v>129</v>
      </c>
      <c r="J19" s="270"/>
      <c r="K19" s="168"/>
      <c r="L19" s="326"/>
      <c r="M19" s="168" t="s">
        <v>177</v>
      </c>
      <c r="N19" s="207"/>
      <c r="O19" s="168"/>
      <c r="P19" s="326"/>
      <c r="Q19" s="168" t="s">
        <v>177</v>
      </c>
      <c r="R19" s="207"/>
      <c r="S19" s="168"/>
      <c r="T19" s="326"/>
      <c r="U19" s="168" t="s">
        <v>177</v>
      </c>
      <c r="V19" s="207"/>
      <c r="W19" s="168"/>
      <c r="X19" s="326"/>
      <c r="Y19" s="168" t="s">
        <v>177</v>
      </c>
      <c r="Z19" s="207"/>
      <c r="AA19" s="168"/>
      <c r="AB19" s="326"/>
      <c r="AC19" s="168" t="s">
        <v>177</v>
      </c>
      <c r="AD19" s="207"/>
      <c r="AE19" s="168"/>
      <c r="AF19" s="326"/>
      <c r="AG19" s="168" t="s">
        <v>177</v>
      </c>
      <c r="AH19" s="207"/>
      <c r="AI19" s="168"/>
      <c r="AJ19" s="326"/>
      <c r="AK19" s="168" t="s">
        <v>177</v>
      </c>
      <c r="AL19" s="207"/>
      <c r="AM19" s="168"/>
    </row>
    <row r="20" spans="2:39" s="264" customFormat="1" ht="30" customHeight="1">
      <c r="B20" s="283">
        <f>B19+1</f>
        <v>13</v>
      </c>
      <c r="C20" s="284" t="str">
        <f t="shared" si="0"/>
        <v>TC-EIF-MSG-13</v>
      </c>
      <c r="D20" s="286">
        <v>2</v>
      </c>
      <c r="E20" s="286">
        <v>49</v>
      </c>
      <c r="F20" s="288" t="s">
        <v>172</v>
      </c>
      <c r="G20" s="286" t="s">
        <v>141</v>
      </c>
      <c r="H20" s="268" t="s">
        <v>211</v>
      </c>
      <c r="I20" s="286" t="s">
        <v>129</v>
      </c>
      <c r="J20" s="272"/>
      <c r="K20" s="169"/>
      <c r="L20" s="324"/>
      <c r="M20" s="169" t="s">
        <v>34</v>
      </c>
      <c r="N20" s="211"/>
      <c r="O20" s="169"/>
      <c r="P20" s="324"/>
      <c r="Q20" s="169" t="s">
        <v>34</v>
      </c>
      <c r="R20" s="211"/>
      <c r="S20" s="169"/>
      <c r="T20" s="324"/>
      <c r="U20" s="169" t="s">
        <v>34</v>
      </c>
      <c r="V20" s="211"/>
      <c r="W20" s="169"/>
      <c r="X20" s="324"/>
      <c r="Y20" s="169" t="s">
        <v>34</v>
      </c>
      <c r="Z20" s="211"/>
      <c r="AA20" s="169"/>
      <c r="AB20" s="324"/>
      <c r="AC20" s="169" t="s">
        <v>34</v>
      </c>
      <c r="AD20" s="211"/>
      <c r="AE20" s="169"/>
      <c r="AF20" s="324"/>
      <c r="AG20" s="169" t="s">
        <v>34</v>
      </c>
      <c r="AH20" s="267"/>
      <c r="AI20" s="335"/>
      <c r="AJ20" s="324"/>
      <c r="AK20" s="169" t="s">
        <v>34</v>
      </c>
      <c r="AL20" s="267"/>
      <c r="AM20" s="169"/>
    </row>
    <row r="21" spans="2:39" s="264" customFormat="1" ht="30" customHeight="1">
      <c r="B21" s="283">
        <f t="shared" si="3"/>
        <v>14</v>
      </c>
      <c r="C21" s="284" t="str">
        <f t="shared" si="0"/>
        <v>TC-EIF-MSG-14</v>
      </c>
      <c r="D21" s="286">
        <v>2</v>
      </c>
      <c r="E21" s="286">
        <v>49</v>
      </c>
      <c r="F21" s="288" t="s">
        <v>172</v>
      </c>
      <c r="G21" s="286" t="s">
        <v>141</v>
      </c>
      <c r="H21" s="268" t="s">
        <v>212</v>
      </c>
      <c r="I21" s="286" t="s">
        <v>129</v>
      </c>
      <c r="J21" s="272"/>
      <c r="K21" s="169"/>
      <c r="L21" s="324"/>
      <c r="M21" s="169" t="s">
        <v>34</v>
      </c>
      <c r="N21" s="211"/>
      <c r="O21" s="169"/>
      <c r="P21" s="324"/>
      <c r="Q21" s="169" t="s">
        <v>34</v>
      </c>
      <c r="R21" s="211"/>
      <c r="S21" s="169"/>
      <c r="T21" s="324"/>
      <c r="U21" s="169" t="s">
        <v>34</v>
      </c>
      <c r="V21" s="211"/>
      <c r="W21" s="169"/>
      <c r="X21" s="324"/>
      <c r="Y21" s="169" t="s">
        <v>34</v>
      </c>
      <c r="Z21" s="211"/>
      <c r="AA21" s="169"/>
      <c r="AB21" s="324"/>
      <c r="AC21" s="169" t="s">
        <v>34</v>
      </c>
      <c r="AD21" s="211"/>
      <c r="AE21" s="169"/>
      <c r="AF21" s="324"/>
      <c r="AG21" s="169" t="s">
        <v>34</v>
      </c>
      <c r="AH21" s="267"/>
      <c r="AI21" s="169"/>
      <c r="AJ21" s="324"/>
      <c r="AK21" s="169" t="s">
        <v>34</v>
      </c>
      <c r="AL21" s="267"/>
      <c r="AM21" s="169"/>
    </row>
    <row r="22" spans="2:39" s="264" customFormat="1" ht="30" customHeight="1">
      <c r="B22" s="283">
        <f t="shared" si="3"/>
        <v>15</v>
      </c>
      <c r="C22" s="284" t="str">
        <f t="shared" si="0"/>
        <v>TC-EIF-MSG-15</v>
      </c>
      <c r="D22" s="286">
        <v>2</v>
      </c>
      <c r="E22" s="286">
        <v>49</v>
      </c>
      <c r="F22" s="288" t="s">
        <v>172</v>
      </c>
      <c r="G22" s="286" t="s">
        <v>12</v>
      </c>
      <c r="H22" s="268" t="s">
        <v>213</v>
      </c>
      <c r="I22" s="286" t="s">
        <v>43</v>
      </c>
      <c r="J22" s="272"/>
      <c r="K22" s="169"/>
      <c r="L22" s="324"/>
      <c r="M22" s="169" t="s">
        <v>34</v>
      </c>
      <c r="N22" s="211"/>
      <c r="O22" s="169"/>
      <c r="P22" s="324"/>
      <c r="Q22" s="169" t="s">
        <v>34</v>
      </c>
      <c r="R22" s="211"/>
      <c r="S22" s="169"/>
      <c r="T22" s="324"/>
      <c r="U22" s="169" t="s">
        <v>34</v>
      </c>
      <c r="V22" s="211"/>
      <c r="W22" s="169"/>
      <c r="X22" s="324"/>
      <c r="Y22" s="169" t="s">
        <v>34</v>
      </c>
      <c r="Z22" s="211"/>
      <c r="AA22" s="169"/>
      <c r="AB22" s="324"/>
      <c r="AC22" s="169" t="s">
        <v>34</v>
      </c>
      <c r="AD22" s="211"/>
      <c r="AE22" s="169"/>
      <c r="AF22" s="324"/>
      <c r="AG22" s="169" t="s">
        <v>34</v>
      </c>
      <c r="AH22" s="211"/>
      <c r="AI22" s="169"/>
      <c r="AJ22" s="324"/>
      <c r="AK22" s="169" t="s">
        <v>34</v>
      </c>
      <c r="AL22" s="211"/>
      <c r="AM22" s="169"/>
    </row>
    <row r="23" spans="2:39" s="264" customFormat="1" ht="30" customHeight="1">
      <c r="B23" s="283">
        <f>B21+1</f>
        <v>15</v>
      </c>
      <c r="C23" s="284" t="str">
        <f t="shared" si="0"/>
        <v>TC-EIF-MSG-15</v>
      </c>
      <c r="D23" s="286">
        <v>2</v>
      </c>
      <c r="E23" s="286">
        <v>49</v>
      </c>
      <c r="F23" s="288" t="s">
        <v>172</v>
      </c>
      <c r="G23" s="286" t="s">
        <v>12</v>
      </c>
      <c r="H23" s="268" t="s">
        <v>214</v>
      </c>
      <c r="I23" s="286" t="s">
        <v>43</v>
      </c>
      <c r="J23" s="272"/>
      <c r="K23" s="169"/>
      <c r="L23" s="324"/>
      <c r="M23" s="169" t="s">
        <v>34</v>
      </c>
      <c r="N23" s="211"/>
      <c r="O23" s="169"/>
      <c r="P23" s="324"/>
      <c r="Q23" s="169" t="s">
        <v>34</v>
      </c>
      <c r="R23" s="211"/>
      <c r="S23" s="169"/>
      <c r="T23" s="324"/>
      <c r="U23" s="169" t="s">
        <v>34</v>
      </c>
      <c r="V23" s="211"/>
      <c r="W23" s="169"/>
      <c r="X23" s="324"/>
      <c r="Y23" s="169" t="s">
        <v>34</v>
      </c>
      <c r="Z23" s="211"/>
      <c r="AA23" s="169"/>
      <c r="AB23" s="324"/>
      <c r="AC23" s="169" t="s">
        <v>34</v>
      </c>
      <c r="AD23" s="211"/>
      <c r="AE23" s="169"/>
      <c r="AF23" s="324"/>
      <c r="AG23" s="169" t="s">
        <v>34</v>
      </c>
      <c r="AH23" s="211"/>
      <c r="AI23" s="169"/>
      <c r="AJ23" s="324"/>
      <c r="AK23" s="169" t="s">
        <v>34</v>
      </c>
      <c r="AL23" s="211"/>
      <c r="AM23" s="169"/>
    </row>
    <row r="24" spans="2:39" s="264" customFormat="1" ht="30" customHeight="1">
      <c r="B24" s="283">
        <f>B22+1</f>
        <v>16</v>
      </c>
      <c r="C24" s="284" t="str">
        <f t="shared" si="0"/>
        <v>TC-EIF-MSG-16</v>
      </c>
      <c r="D24" s="286">
        <v>2</v>
      </c>
      <c r="E24" s="286">
        <v>49</v>
      </c>
      <c r="F24" s="288" t="s">
        <v>172</v>
      </c>
      <c r="G24" s="286" t="s">
        <v>12</v>
      </c>
      <c r="H24" s="268" t="s">
        <v>215</v>
      </c>
      <c r="I24" s="286" t="s">
        <v>43</v>
      </c>
      <c r="J24" s="272"/>
      <c r="K24" s="169"/>
      <c r="L24" s="324"/>
      <c r="M24" s="169" t="s">
        <v>34</v>
      </c>
      <c r="N24" s="211"/>
      <c r="O24" s="169"/>
      <c r="P24" s="324"/>
      <c r="Q24" s="169" t="s">
        <v>34</v>
      </c>
      <c r="R24" s="211"/>
      <c r="S24" s="169"/>
      <c r="T24" s="324"/>
      <c r="U24" s="169" t="s">
        <v>34</v>
      </c>
      <c r="V24" s="211"/>
      <c r="W24" s="169"/>
      <c r="X24" s="324"/>
      <c r="Y24" s="169" t="s">
        <v>34</v>
      </c>
      <c r="Z24" s="211"/>
      <c r="AA24" s="169"/>
      <c r="AB24" s="324"/>
      <c r="AC24" s="169" t="s">
        <v>34</v>
      </c>
      <c r="AD24" s="211"/>
      <c r="AE24" s="169"/>
      <c r="AF24" s="324"/>
      <c r="AG24" s="169" t="s">
        <v>34</v>
      </c>
      <c r="AH24" s="211"/>
      <c r="AI24" s="169"/>
      <c r="AJ24" s="324"/>
      <c r="AK24" s="169" t="s">
        <v>34</v>
      </c>
      <c r="AL24" s="211"/>
      <c r="AM24" s="169"/>
    </row>
    <row r="25" spans="2:39" s="264" customFormat="1" ht="30" customHeight="1">
      <c r="B25" s="283">
        <f t="shared" si="3"/>
        <v>17</v>
      </c>
      <c r="C25" s="284" t="str">
        <f t="shared" si="0"/>
        <v>TC-EIF-MSG-17</v>
      </c>
      <c r="D25" s="286">
        <v>2</v>
      </c>
      <c r="E25" s="286">
        <v>49</v>
      </c>
      <c r="F25" s="288" t="s">
        <v>172</v>
      </c>
      <c r="G25" s="286" t="s">
        <v>12</v>
      </c>
      <c r="H25" s="268" t="s">
        <v>216</v>
      </c>
      <c r="I25" s="286" t="s">
        <v>43</v>
      </c>
      <c r="J25" s="272"/>
      <c r="K25" s="169"/>
      <c r="L25" s="324"/>
      <c r="M25" s="169" t="s">
        <v>34</v>
      </c>
      <c r="N25" s="211"/>
      <c r="O25" s="169"/>
      <c r="P25" s="324"/>
      <c r="Q25" s="169" t="s">
        <v>34</v>
      </c>
      <c r="R25" s="169"/>
      <c r="S25" s="169"/>
      <c r="T25" s="327"/>
      <c r="U25" s="169" t="s">
        <v>34</v>
      </c>
      <c r="V25" s="279"/>
      <c r="W25" s="169"/>
      <c r="X25" s="324"/>
      <c r="Y25" s="169" t="s">
        <v>34</v>
      </c>
      <c r="Z25" s="169"/>
      <c r="AA25" s="169"/>
      <c r="AB25" s="324"/>
      <c r="AC25" s="169" t="s">
        <v>34</v>
      </c>
      <c r="AD25" s="211"/>
      <c r="AE25" s="169"/>
      <c r="AF25" s="324"/>
      <c r="AG25" s="169" t="s">
        <v>34</v>
      </c>
      <c r="AH25" s="211"/>
      <c r="AI25" s="169"/>
      <c r="AJ25" s="324"/>
      <c r="AK25" s="169" t="s">
        <v>34</v>
      </c>
      <c r="AL25" s="267"/>
      <c r="AM25" s="169"/>
    </row>
    <row r="26" spans="2:39" s="264" customFormat="1" ht="30" customHeight="1">
      <c r="B26" s="283">
        <f t="shared" si="3"/>
        <v>18</v>
      </c>
      <c r="C26" s="284" t="str">
        <f t="shared" si="0"/>
        <v>TC-EIF-MSG-18</v>
      </c>
      <c r="D26" s="294">
        <v>2</v>
      </c>
      <c r="E26" s="294">
        <v>49</v>
      </c>
      <c r="F26" s="303" t="s">
        <v>172</v>
      </c>
      <c r="G26" s="294" t="s">
        <v>12</v>
      </c>
      <c r="H26" s="296" t="s">
        <v>217</v>
      </c>
      <c r="I26" s="294" t="s">
        <v>129</v>
      </c>
      <c r="J26" s="297"/>
      <c r="K26" s="298"/>
      <c r="L26" s="328"/>
      <c r="M26" s="298" t="s">
        <v>177</v>
      </c>
      <c r="N26" s="304"/>
      <c r="O26" s="298"/>
      <c r="P26" s="328"/>
      <c r="Q26" s="298" t="s">
        <v>177</v>
      </c>
      <c r="R26" s="304"/>
      <c r="S26" s="298"/>
      <c r="T26" s="328"/>
      <c r="U26" s="298" t="s">
        <v>177</v>
      </c>
      <c r="V26" s="304"/>
      <c r="W26" s="298"/>
      <c r="X26" s="328"/>
      <c r="Y26" s="298" t="s">
        <v>177</v>
      </c>
      <c r="Z26" s="304"/>
      <c r="AA26" s="298"/>
      <c r="AB26" s="328"/>
      <c r="AC26" s="298" t="s">
        <v>177</v>
      </c>
      <c r="AD26" s="304"/>
      <c r="AE26" s="298"/>
      <c r="AF26" s="328"/>
      <c r="AG26" s="298" t="s">
        <v>177</v>
      </c>
      <c r="AH26" s="301"/>
      <c r="AI26" s="298"/>
      <c r="AJ26" s="328"/>
      <c r="AK26" s="298" t="s">
        <v>177</v>
      </c>
      <c r="AL26" s="304"/>
      <c r="AM26" s="298"/>
    </row>
    <row r="27" spans="2:39" s="264" customFormat="1" ht="30" customHeight="1">
      <c r="B27" s="283">
        <f t="shared" si="3"/>
        <v>19</v>
      </c>
      <c r="C27" s="284" t="str">
        <f t="shared" si="0"/>
        <v>TC-EIF-MSG-19</v>
      </c>
      <c r="D27" s="294">
        <v>2</v>
      </c>
      <c r="E27" s="294">
        <v>49</v>
      </c>
      <c r="F27" s="303" t="s">
        <v>172</v>
      </c>
      <c r="G27" s="294" t="s">
        <v>12</v>
      </c>
      <c r="H27" s="296" t="s">
        <v>218</v>
      </c>
      <c r="I27" s="294" t="s">
        <v>129</v>
      </c>
      <c r="J27" s="297"/>
      <c r="K27" s="298"/>
      <c r="L27" s="328"/>
      <c r="M27" s="298" t="s">
        <v>177</v>
      </c>
      <c r="N27" s="304"/>
      <c r="O27" s="298"/>
      <c r="P27" s="328"/>
      <c r="Q27" s="298" t="s">
        <v>177</v>
      </c>
      <c r="R27" s="304"/>
      <c r="S27" s="298"/>
      <c r="T27" s="329"/>
      <c r="U27" s="298" t="s">
        <v>177</v>
      </c>
      <c r="V27" s="300"/>
      <c r="W27" s="298"/>
      <c r="X27" s="328"/>
      <c r="Y27" s="298" t="s">
        <v>177</v>
      </c>
      <c r="Z27" s="304"/>
      <c r="AA27" s="298"/>
      <c r="AB27" s="328"/>
      <c r="AC27" s="298" t="s">
        <v>177</v>
      </c>
      <c r="AD27" s="304"/>
      <c r="AE27" s="298"/>
      <c r="AF27" s="328"/>
      <c r="AG27" s="298" t="s">
        <v>177</v>
      </c>
      <c r="AH27" s="301"/>
      <c r="AI27" s="298"/>
      <c r="AJ27" s="328"/>
      <c r="AK27" s="298" t="s">
        <v>177</v>
      </c>
      <c r="AL27" s="304"/>
      <c r="AM27" s="298"/>
    </row>
    <row r="28" spans="2:39" s="264" customFormat="1" ht="30" customHeight="1">
      <c r="B28" s="283">
        <f>B27+1</f>
        <v>20</v>
      </c>
      <c r="C28" s="284" t="str">
        <f t="shared" si="0"/>
        <v>TC-EIF-MSG-20</v>
      </c>
      <c r="D28" s="285">
        <v>2</v>
      </c>
      <c r="E28" s="285">
        <v>50</v>
      </c>
      <c r="F28" s="235" t="s">
        <v>173</v>
      </c>
      <c r="G28" s="285" t="s">
        <v>12</v>
      </c>
      <c r="H28" s="265" t="s">
        <v>219</v>
      </c>
      <c r="I28" s="285" t="s">
        <v>43</v>
      </c>
      <c r="J28" s="270"/>
      <c r="K28" s="168"/>
      <c r="L28" s="326"/>
      <c r="M28" s="168" t="s">
        <v>177</v>
      </c>
      <c r="N28" s="207"/>
      <c r="O28" s="168"/>
      <c r="P28" s="326"/>
      <c r="Q28" s="168" t="s">
        <v>177</v>
      </c>
      <c r="R28" s="207"/>
      <c r="S28" s="168"/>
      <c r="T28" s="326"/>
      <c r="U28" s="168" t="s">
        <v>177</v>
      </c>
      <c r="V28" s="207"/>
      <c r="W28" s="168"/>
      <c r="X28" s="326"/>
      <c r="Y28" s="168" t="s">
        <v>177</v>
      </c>
      <c r="Z28" s="207"/>
      <c r="AA28" s="168"/>
      <c r="AB28" s="326"/>
      <c r="AC28" s="168" t="s">
        <v>177</v>
      </c>
      <c r="AD28" s="207"/>
      <c r="AE28" s="168"/>
      <c r="AF28" s="326"/>
      <c r="AG28" s="168" t="s">
        <v>177</v>
      </c>
      <c r="AH28" s="207"/>
      <c r="AI28" s="168"/>
      <c r="AJ28" s="326"/>
      <c r="AK28" s="168" t="s">
        <v>177</v>
      </c>
      <c r="AL28" s="207"/>
      <c r="AM28" s="168"/>
    </row>
    <row r="29" spans="2:39" s="264" customFormat="1" ht="30" customHeight="1">
      <c r="B29" s="283">
        <f>B28+1</f>
        <v>21</v>
      </c>
      <c r="C29" s="284" t="str">
        <f t="shared" si="0"/>
        <v>TC-EIF-MSG-21</v>
      </c>
      <c r="D29" s="285">
        <v>2</v>
      </c>
      <c r="E29" s="285">
        <v>61</v>
      </c>
      <c r="F29" s="233" t="s">
        <v>209</v>
      </c>
      <c r="G29" s="285" t="s">
        <v>13</v>
      </c>
      <c r="H29" s="265" t="s">
        <v>207</v>
      </c>
      <c r="I29" s="285" t="s">
        <v>128</v>
      </c>
      <c r="J29" s="270"/>
      <c r="K29" s="168"/>
      <c r="L29" s="326"/>
      <c r="M29" s="168" t="s">
        <v>177</v>
      </c>
      <c r="N29" s="210"/>
      <c r="O29" s="168"/>
      <c r="P29" s="326"/>
      <c r="Q29" s="168" t="s">
        <v>177</v>
      </c>
      <c r="R29" s="210"/>
      <c r="S29" s="168"/>
      <c r="T29" s="326"/>
      <c r="U29" s="168" t="s">
        <v>177</v>
      </c>
      <c r="V29" s="210"/>
      <c r="W29" s="168"/>
      <c r="X29" s="326"/>
      <c r="Y29" s="168" t="s">
        <v>177</v>
      </c>
      <c r="Z29" s="210"/>
      <c r="AA29" s="168"/>
      <c r="AB29" s="326"/>
      <c r="AC29" s="168" t="s">
        <v>177</v>
      </c>
      <c r="AD29" s="210"/>
      <c r="AE29" s="168"/>
      <c r="AF29" s="326"/>
      <c r="AG29" s="168" t="s">
        <v>177</v>
      </c>
      <c r="AH29" s="210"/>
      <c r="AI29" s="168"/>
      <c r="AJ29" s="326"/>
      <c r="AK29" s="168" t="s">
        <v>177</v>
      </c>
      <c r="AL29" s="210"/>
      <c r="AM29" s="168"/>
    </row>
    <row r="30" spans="2:39" s="264" customFormat="1" ht="30" customHeight="1">
      <c r="B30" s="283">
        <f t="shared" si="3"/>
        <v>22</v>
      </c>
      <c r="C30" s="284" t="str">
        <f t="shared" si="0"/>
        <v>TC-EIF-MSG-22</v>
      </c>
      <c r="D30" s="285">
        <v>2</v>
      </c>
      <c r="E30" s="285">
        <v>62</v>
      </c>
      <c r="F30" s="235" t="s">
        <v>210</v>
      </c>
      <c r="G30" s="285" t="s">
        <v>13</v>
      </c>
      <c r="H30" s="265" t="s">
        <v>208</v>
      </c>
      <c r="I30" s="285" t="s">
        <v>129</v>
      </c>
      <c r="J30" s="270"/>
      <c r="K30" s="168"/>
      <c r="L30" s="326"/>
      <c r="M30" s="168" t="s">
        <v>177</v>
      </c>
      <c r="N30" s="207"/>
      <c r="O30" s="168"/>
      <c r="P30" s="326"/>
      <c r="Q30" s="168" t="s">
        <v>177</v>
      </c>
      <c r="R30" s="207"/>
      <c r="S30" s="168"/>
      <c r="T30" s="326"/>
      <c r="U30" s="168" t="s">
        <v>177</v>
      </c>
      <c r="V30" s="207"/>
      <c r="W30" s="168"/>
      <c r="X30" s="326"/>
      <c r="Y30" s="168" t="s">
        <v>177</v>
      </c>
      <c r="Z30" s="207"/>
      <c r="AA30" s="168"/>
      <c r="AB30" s="326"/>
      <c r="AC30" s="168" t="s">
        <v>177</v>
      </c>
      <c r="AD30" s="207"/>
      <c r="AE30" s="168"/>
      <c r="AF30" s="326"/>
      <c r="AG30" s="168" t="s">
        <v>177</v>
      </c>
      <c r="AH30" s="207"/>
      <c r="AI30" s="168"/>
      <c r="AJ30" s="326"/>
      <c r="AK30" s="168" t="s">
        <v>177</v>
      </c>
      <c r="AL30" s="207"/>
      <c r="AM30" s="168"/>
    </row>
    <row r="31" spans="2:39" s="264" customFormat="1" ht="30" customHeight="1">
      <c r="B31" s="283" t="str">
        <f>IF(OR(M31="-",M31="N/A"),"",COUNTA(M$5:M31)-(COUNTIF((M$5:M31),"-")+COUNTIF((M$5:M31),"N/A"))+COUNTIF((M$5:M31),""))</f>
        <v/>
      </c>
      <c r="C31" s="284" t="str">
        <f t="shared" si="0"/>
        <v/>
      </c>
      <c r="D31" s="290">
        <v>5</v>
      </c>
      <c r="E31" s="290"/>
      <c r="F31" s="290"/>
      <c r="G31" s="290"/>
      <c r="H31" s="292" t="s">
        <v>35</v>
      </c>
      <c r="I31" s="305"/>
      <c r="J31" s="271"/>
      <c r="K31" s="170"/>
      <c r="L31" s="332" t="s">
        <v>43</v>
      </c>
      <c r="M31" s="170" t="s">
        <v>43</v>
      </c>
      <c r="N31" s="266"/>
      <c r="O31" s="170"/>
      <c r="P31" s="332" t="s">
        <v>43</v>
      </c>
      <c r="Q31" s="170" t="s">
        <v>43</v>
      </c>
      <c r="R31" s="170"/>
      <c r="S31" s="170"/>
      <c r="T31" s="325" t="s">
        <v>43</v>
      </c>
      <c r="U31" s="276" t="s">
        <v>43</v>
      </c>
      <c r="V31" s="276"/>
      <c r="W31" s="170"/>
      <c r="X31" s="332" t="s">
        <v>43</v>
      </c>
      <c r="Y31" s="170" t="s">
        <v>43</v>
      </c>
      <c r="Z31" s="170"/>
      <c r="AA31" s="170"/>
      <c r="AB31" s="332" t="s">
        <v>43</v>
      </c>
      <c r="AC31" s="170" t="s">
        <v>43</v>
      </c>
      <c r="AD31" s="266"/>
      <c r="AE31" s="170"/>
      <c r="AF31" s="332"/>
      <c r="AG31" s="170" t="s">
        <v>43</v>
      </c>
      <c r="AH31" s="266"/>
      <c r="AI31" s="170"/>
      <c r="AJ31" s="332"/>
      <c r="AK31" s="170" t="s">
        <v>43</v>
      </c>
      <c r="AL31" s="266"/>
      <c r="AM31" s="170"/>
    </row>
    <row r="32" spans="2:39" ht="30" customHeight="1">
      <c r="B32" s="283">
        <f>B30+1</f>
        <v>23</v>
      </c>
      <c r="C32" s="284" t="str">
        <f t="shared" si="0"/>
        <v>TC-EIF-MSG-23</v>
      </c>
      <c r="D32" s="285">
        <v>5</v>
      </c>
      <c r="E32" s="285">
        <v>1</v>
      </c>
      <c r="F32" s="235" t="s">
        <v>173</v>
      </c>
      <c r="G32" s="285" t="s">
        <v>141</v>
      </c>
      <c r="H32" s="265" t="s">
        <v>220</v>
      </c>
      <c r="I32" s="285" t="s">
        <v>129</v>
      </c>
      <c r="J32" s="270"/>
      <c r="K32" s="168"/>
      <c r="L32" s="326"/>
      <c r="M32" s="168" t="s">
        <v>177</v>
      </c>
      <c r="N32" s="207"/>
      <c r="O32" s="168"/>
      <c r="P32" s="326"/>
      <c r="Q32" s="168" t="s">
        <v>177</v>
      </c>
      <c r="R32" s="207"/>
      <c r="S32" s="168"/>
      <c r="T32" s="326"/>
      <c r="U32" s="168" t="s">
        <v>177</v>
      </c>
      <c r="V32" s="207"/>
      <c r="W32" s="168"/>
      <c r="X32" s="326"/>
      <c r="Y32" s="168" t="s">
        <v>177</v>
      </c>
      <c r="Z32" s="207"/>
      <c r="AA32" s="168"/>
      <c r="AB32" s="326"/>
      <c r="AC32" s="168" t="s">
        <v>177</v>
      </c>
      <c r="AD32" s="207"/>
      <c r="AE32" s="168"/>
      <c r="AF32" s="326"/>
      <c r="AG32" s="168" t="s">
        <v>177</v>
      </c>
      <c r="AH32" s="207"/>
      <c r="AI32" s="168"/>
      <c r="AJ32" s="326"/>
      <c r="AK32" s="168" t="s">
        <v>177</v>
      </c>
      <c r="AL32" s="207"/>
      <c r="AM32" s="168"/>
    </row>
    <row r="33" spans="2:39" ht="30" customHeight="1">
      <c r="B33" s="283">
        <f>B32+1</f>
        <v>24</v>
      </c>
      <c r="C33" s="284" t="str">
        <f t="shared" si="0"/>
        <v>TC-EIF-MSG-24</v>
      </c>
      <c r="D33" s="285">
        <v>5</v>
      </c>
      <c r="E33" s="285">
        <v>2</v>
      </c>
      <c r="F33" s="235" t="s">
        <v>172</v>
      </c>
      <c r="G33" s="285" t="s">
        <v>141</v>
      </c>
      <c r="H33" s="265" t="s">
        <v>221</v>
      </c>
      <c r="I33" s="285" t="s">
        <v>129</v>
      </c>
      <c r="J33" s="270"/>
      <c r="K33" s="168"/>
      <c r="L33" s="326"/>
      <c r="M33" s="168" t="s">
        <v>177</v>
      </c>
      <c r="N33" s="207"/>
      <c r="O33" s="168"/>
      <c r="P33" s="326"/>
      <c r="Q33" s="168" t="s">
        <v>177</v>
      </c>
      <c r="R33" s="207"/>
      <c r="S33" s="168"/>
      <c r="T33" s="326"/>
      <c r="U33" s="168" t="s">
        <v>177</v>
      </c>
      <c r="V33" s="207"/>
      <c r="W33" s="168"/>
      <c r="X33" s="326"/>
      <c r="Y33" s="168" t="s">
        <v>177</v>
      </c>
      <c r="Z33" s="207"/>
      <c r="AA33" s="168"/>
      <c r="AB33" s="326"/>
      <c r="AC33" s="168" t="s">
        <v>177</v>
      </c>
      <c r="AD33" s="207"/>
      <c r="AE33" s="168"/>
      <c r="AF33" s="326"/>
      <c r="AG33" s="168" t="s">
        <v>177</v>
      </c>
      <c r="AH33" s="207"/>
      <c r="AI33" s="168"/>
      <c r="AJ33" s="326"/>
      <c r="AK33" s="168" t="s">
        <v>177</v>
      </c>
      <c r="AL33" s="207"/>
      <c r="AM33" s="168"/>
    </row>
    <row r="34" spans="2:39" ht="30" customHeight="1">
      <c r="B34" s="283">
        <f>B33+1</f>
        <v>25</v>
      </c>
      <c r="C34" s="284" t="str">
        <f t="shared" si="0"/>
        <v>TC-EIF-MSG-25</v>
      </c>
      <c r="D34" s="285">
        <v>5</v>
      </c>
      <c r="E34" s="285">
        <v>5</v>
      </c>
      <c r="F34" s="235" t="s">
        <v>172</v>
      </c>
      <c r="G34" s="285" t="s">
        <v>141</v>
      </c>
      <c r="H34" s="265" t="s">
        <v>222</v>
      </c>
      <c r="I34" s="285" t="s">
        <v>129</v>
      </c>
      <c r="J34" s="270"/>
      <c r="K34" s="168"/>
      <c r="L34" s="326"/>
      <c r="M34" s="168" t="s">
        <v>177</v>
      </c>
      <c r="N34" s="207"/>
      <c r="O34" s="168"/>
      <c r="P34" s="326"/>
      <c r="Q34" s="168" t="s">
        <v>177</v>
      </c>
      <c r="R34" s="207"/>
      <c r="S34" s="168"/>
      <c r="T34" s="326"/>
      <c r="U34" s="168" t="s">
        <v>177</v>
      </c>
      <c r="V34" s="207"/>
      <c r="W34" s="168"/>
      <c r="X34" s="326"/>
      <c r="Y34" s="168" t="s">
        <v>177</v>
      </c>
      <c r="Z34" s="207"/>
      <c r="AA34" s="168"/>
      <c r="AB34" s="326"/>
      <c r="AC34" s="168" t="s">
        <v>177</v>
      </c>
      <c r="AD34" s="207"/>
      <c r="AE34" s="168"/>
      <c r="AF34" s="326"/>
      <c r="AG34" s="168" t="s">
        <v>177</v>
      </c>
      <c r="AH34" s="207"/>
      <c r="AI34" s="168"/>
      <c r="AJ34" s="326"/>
      <c r="AK34" s="168" t="s">
        <v>177</v>
      </c>
      <c r="AL34" s="207"/>
      <c r="AM34" s="168"/>
    </row>
    <row r="35" spans="2:39" ht="30" customHeight="1">
      <c r="B35" s="283">
        <f t="shared" ref="B35" si="4">B34+1</f>
        <v>26</v>
      </c>
      <c r="C35" s="284" t="str">
        <f t="shared" si="0"/>
        <v>TC-EIF-MSG-26</v>
      </c>
      <c r="D35" s="285">
        <v>5</v>
      </c>
      <c r="E35" s="285">
        <v>6</v>
      </c>
      <c r="F35" s="235" t="s">
        <v>173</v>
      </c>
      <c r="G35" s="285" t="s">
        <v>12</v>
      </c>
      <c r="H35" s="265" t="s">
        <v>223</v>
      </c>
      <c r="I35" s="285" t="s">
        <v>129</v>
      </c>
      <c r="J35" s="270"/>
      <c r="K35" s="168"/>
      <c r="L35" s="326"/>
      <c r="M35" s="168" t="s">
        <v>177</v>
      </c>
      <c r="N35" s="207"/>
      <c r="O35" s="168"/>
      <c r="P35" s="326"/>
      <c r="Q35" s="168" t="s">
        <v>177</v>
      </c>
      <c r="R35" s="207"/>
      <c r="S35" s="168"/>
      <c r="T35" s="326"/>
      <c r="U35" s="168" t="s">
        <v>177</v>
      </c>
      <c r="V35" s="207"/>
      <c r="W35" s="168"/>
      <c r="X35" s="326"/>
      <c r="Y35" s="168" t="s">
        <v>177</v>
      </c>
      <c r="Z35" s="207"/>
      <c r="AA35" s="168"/>
      <c r="AB35" s="326"/>
      <c r="AC35" s="168" t="s">
        <v>177</v>
      </c>
      <c r="AD35" s="207"/>
      <c r="AE35" s="168"/>
      <c r="AF35" s="326"/>
      <c r="AG35" s="168" t="s">
        <v>177</v>
      </c>
      <c r="AH35" s="207"/>
      <c r="AI35" s="168"/>
      <c r="AJ35" s="326"/>
      <c r="AK35" s="168" t="s">
        <v>177</v>
      </c>
      <c r="AL35" s="207"/>
      <c r="AM35" s="168"/>
    </row>
    <row r="36" spans="2:39" s="264" customFormat="1" ht="30" customHeight="1">
      <c r="B36" s="283" t="str">
        <f>IF(OR(M36="-",M36="N/A"),"",COUNTA(M$5:M36)-(COUNTIF((M$5:M36),"-")+COUNTIF((M$5:M36),"N/A"))+COUNTIF((M$5:M36),""))</f>
        <v/>
      </c>
      <c r="C36" s="284" t="str">
        <f t="shared" si="0"/>
        <v/>
      </c>
      <c r="D36" s="290">
        <v>6</v>
      </c>
      <c r="E36" s="290"/>
      <c r="F36" s="290"/>
      <c r="G36" s="290"/>
      <c r="H36" s="292" t="s">
        <v>36</v>
      </c>
      <c r="I36" s="305"/>
      <c r="J36" s="271"/>
      <c r="K36" s="170"/>
      <c r="L36" s="332" t="s">
        <v>43</v>
      </c>
      <c r="M36" s="170" t="s">
        <v>43</v>
      </c>
      <c r="N36" s="266"/>
      <c r="O36" s="170"/>
      <c r="P36" s="332" t="s">
        <v>43</v>
      </c>
      <c r="Q36" s="170" t="s">
        <v>43</v>
      </c>
      <c r="R36" s="170"/>
      <c r="S36" s="170"/>
      <c r="T36" s="325" t="s">
        <v>43</v>
      </c>
      <c r="U36" s="276" t="s">
        <v>43</v>
      </c>
      <c r="V36" s="276"/>
      <c r="W36" s="170"/>
      <c r="X36" s="332" t="s">
        <v>43</v>
      </c>
      <c r="Y36" s="170" t="s">
        <v>43</v>
      </c>
      <c r="Z36" s="170"/>
      <c r="AA36" s="170"/>
      <c r="AB36" s="332" t="s">
        <v>43</v>
      </c>
      <c r="AC36" s="170" t="s">
        <v>43</v>
      </c>
      <c r="AD36" s="266"/>
      <c r="AE36" s="170"/>
      <c r="AF36" s="332"/>
      <c r="AG36" s="170" t="s">
        <v>43</v>
      </c>
      <c r="AH36" s="266"/>
      <c r="AI36" s="170"/>
      <c r="AJ36" s="332"/>
      <c r="AK36" s="170" t="s">
        <v>43</v>
      </c>
      <c r="AL36" s="266"/>
      <c r="AM36" s="170"/>
    </row>
    <row r="37" spans="2:39" ht="30" customHeight="1">
      <c r="B37" s="283">
        <f>B35+1</f>
        <v>27</v>
      </c>
      <c r="C37" s="284" t="str">
        <f t="shared" ref="C37:C73" si="5">IF($B37="","",CONCATENATE("TC-EIF-MSG-",$B37))</f>
        <v>TC-EIF-MSG-27</v>
      </c>
      <c r="D37" s="286">
        <v>6</v>
      </c>
      <c r="E37" s="286">
        <v>1</v>
      </c>
      <c r="F37" s="289" t="s">
        <v>173</v>
      </c>
      <c r="G37" s="286" t="s">
        <v>12</v>
      </c>
      <c r="H37" s="268" t="s">
        <v>224</v>
      </c>
      <c r="I37" s="286" t="s">
        <v>129</v>
      </c>
      <c r="J37" s="272"/>
      <c r="K37" s="169"/>
      <c r="L37" s="324"/>
      <c r="M37" s="169" t="s">
        <v>34</v>
      </c>
      <c r="N37" s="267"/>
      <c r="O37" s="169"/>
      <c r="P37" s="324"/>
      <c r="Q37" s="169" t="s">
        <v>34</v>
      </c>
      <c r="R37" s="169"/>
      <c r="S37" s="169"/>
      <c r="T37" s="327"/>
      <c r="U37" s="278" t="s">
        <v>34</v>
      </c>
      <c r="V37" s="279"/>
      <c r="W37" s="169"/>
      <c r="X37" s="324"/>
      <c r="Y37" s="169" t="s">
        <v>34</v>
      </c>
      <c r="Z37" s="169"/>
      <c r="AA37" s="169"/>
      <c r="AB37" s="324"/>
      <c r="AC37" s="169" t="s">
        <v>34</v>
      </c>
      <c r="AD37" s="267"/>
      <c r="AE37" s="169"/>
      <c r="AF37" s="324"/>
      <c r="AG37" s="169" t="s">
        <v>34</v>
      </c>
      <c r="AH37" s="267"/>
      <c r="AI37" s="169"/>
      <c r="AJ37" s="324"/>
      <c r="AK37" s="169" t="s">
        <v>34</v>
      </c>
      <c r="AL37" s="267"/>
      <c r="AM37" s="169"/>
    </row>
    <row r="38" spans="2:39" ht="30" customHeight="1">
      <c r="B38" s="283">
        <f>B37+1</f>
        <v>28</v>
      </c>
      <c r="C38" s="284" t="str">
        <f t="shared" si="5"/>
        <v>TC-EIF-MSG-28</v>
      </c>
      <c r="D38" s="286">
        <v>6</v>
      </c>
      <c r="E38" s="286">
        <v>2</v>
      </c>
      <c r="F38" s="289" t="s">
        <v>172</v>
      </c>
      <c r="G38" s="286" t="s">
        <v>12</v>
      </c>
      <c r="H38" s="268" t="s">
        <v>225</v>
      </c>
      <c r="I38" s="286" t="s">
        <v>129</v>
      </c>
      <c r="J38" s="272"/>
      <c r="K38" s="169"/>
      <c r="L38" s="324"/>
      <c r="M38" s="169" t="s">
        <v>34</v>
      </c>
      <c r="N38" s="267"/>
      <c r="O38" s="169"/>
      <c r="P38" s="324"/>
      <c r="Q38" s="169" t="s">
        <v>34</v>
      </c>
      <c r="R38" s="169"/>
      <c r="S38" s="169"/>
      <c r="T38" s="327"/>
      <c r="U38" s="278" t="s">
        <v>34</v>
      </c>
      <c r="V38" s="279"/>
      <c r="W38" s="169"/>
      <c r="X38" s="324"/>
      <c r="Y38" s="169" t="s">
        <v>34</v>
      </c>
      <c r="Z38" s="169"/>
      <c r="AA38" s="169"/>
      <c r="AB38" s="324"/>
      <c r="AC38" s="169" t="s">
        <v>34</v>
      </c>
      <c r="AD38" s="267"/>
      <c r="AE38" s="169"/>
      <c r="AF38" s="324"/>
      <c r="AG38" s="169" t="s">
        <v>34</v>
      </c>
      <c r="AH38" s="267"/>
      <c r="AI38" s="169"/>
      <c r="AJ38" s="324"/>
      <c r="AK38" s="169" t="s">
        <v>34</v>
      </c>
      <c r="AL38" s="267"/>
      <c r="AM38" s="169"/>
    </row>
    <row r="39" spans="2:39" ht="30" customHeight="1">
      <c r="B39" s="283">
        <f t="shared" ref="B39:B43" si="6">B38+1</f>
        <v>29</v>
      </c>
      <c r="C39" s="284" t="str">
        <f t="shared" si="5"/>
        <v>TC-EIF-MSG-29</v>
      </c>
      <c r="D39" s="285">
        <v>6</v>
      </c>
      <c r="E39" s="285">
        <v>11</v>
      </c>
      <c r="F39" s="235" t="s">
        <v>173</v>
      </c>
      <c r="G39" s="285" t="s">
        <v>141</v>
      </c>
      <c r="H39" s="265" t="s">
        <v>233</v>
      </c>
      <c r="I39" s="285">
        <v>10101</v>
      </c>
      <c r="J39" s="270"/>
      <c r="K39" s="168"/>
      <c r="L39" s="326"/>
      <c r="M39" s="168" t="s">
        <v>177</v>
      </c>
      <c r="N39" s="207"/>
      <c r="O39" s="168"/>
      <c r="P39" s="326"/>
      <c r="Q39" s="168" t="s">
        <v>177</v>
      </c>
      <c r="R39" s="207"/>
      <c r="S39" s="168"/>
      <c r="T39" s="326"/>
      <c r="U39" s="168" t="s">
        <v>177</v>
      </c>
      <c r="V39" s="207"/>
      <c r="W39" s="168"/>
      <c r="X39" s="326"/>
      <c r="Y39" s="168" t="s">
        <v>177</v>
      </c>
      <c r="Z39" s="207"/>
      <c r="AA39" s="168"/>
      <c r="AB39" s="326"/>
      <c r="AC39" s="168" t="s">
        <v>177</v>
      </c>
      <c r="AD39" s="207"/>
      <c r="AE39" s="168"/>
      <c r="AF39" s="326"/>
      <c r="AG39" s="168" t="s">
        <v>177</v>
      </c>
      <c r="AH39" s="207"/>
      <c r="AI39" s="168"/>
      <c r="AJ39" s="326"/>
      <c r="AK39" s="168" t="s">
        <v>177</v>
      </c>
      <c r="AL39" s="207"/>
      <c r="AM39" s="168"/>
    </row>
    <row r="40" spans="2:39" ht="30" customHeight="1">
      <c r="B40" s="283">
        <f t="shared" si="6"/>
        <v>30</v>
      </c>
      <c r="C40" s="284" t="str">
        <f t="shared" si="5"/>
        <v>TC-EIF-MSG-30</v>
      </c>
      <c r="D40" s="285">
        <v>6</v>
      </c>
      <c r="E40" s="285">
        <v>11</v>
      </c>
      <c r="F40" s="235" t="s">
        <v>173</v>
      </c>
      <c r="G40" s="285" t="s">
        <v>141</v>
      </c>
      <c r="H40" s="265" t="s">
        <v>234</v>
      </c>
      <c r="I40" s="285">
        <v>10102</v>
      </c>
      <c r="J40" s="270"/>
      <c r="K40" s="168"/>
      <c r="L40" s="326"/>
      <c r="M40" s="168" t="s">
        <v>177</v>
      </c>
      <c r="N40" s="207"/>
      <c r="O40" s="168"/>
      <c r="P40" s="326"/>
      <c r="Q40" s="168" t="s">
        <v>177</v>
      </c>
      <c r="R40" s="207"/>
      <c r="S40" s="168"/>
      <c r="T40" s="326"/>
      <c r="U40" s="168" t="s">
        <v>177</v>
      </c>
      <c r="V40" s="207"/>
      <c r="W40" s="168"/>
      <c r="X40" s="326"/>
      <c r="Y40" s="168" t="s">
        <v>177</v>
      </c>
      <c r="Z40" s="207"/>
      <c r="AA40" s="168"/>
      <c r="AB40" s="326"/>
      <c r="AC40" s="168" t="s">
        <v>177</v>
      </c>
      <c r="AD40" s="207"/>
      <c r="AE40" s="168"/>
      <c r="AF40" s="326"/>
      <c r="AG40" s="168" t="s">
        <v>177</v>
      </c>
      <c r="AH40" s="207"/>
      <c r="AI40" s="168"/>
      <c r="AJ40" s="326"/>
      <c r="AK40" s="168" t="s">
        <v>177</v>
      </c>
      <c r="AL40" s="207"/>
      <c r="AM40" s="168"/>
    </row>
    <row r="41" spans="2:39" ht="30" customHeight="1">
      <c r="B41" s="283">
        <f t="shared" si="6"/>
        <v>31</v>
      </c>
      <c r="C41" s="284" t="str">
        <f t="shared" si="5"/>
        <v>TC-EIF-MSG-31</v>
      </c>
      <c r="D41" s="286">
        <v>6</v>
      </c>
      <c r="E41" s="286">
        <v>11</v>
      </c>
      <c r="F41" s="289" t="s">
        <v>173</v>
      </c>
      <c r="G41" s="286" t="s">
        <v>141</v>
      </c>
      <c r="H41" s="268" t="s">
        <v>235</v>
      </c>
      <c r="I41" s="286">
        <v>20106</v>
      </c>
      <c r="J41" s="272"/>
      <c r="K41" s="169"/>
      <c r="L41" s="324"/>
      <c r="M41" s="169" t="s">
        <v>34</v>
      </c>
      <c r="N41" s="209"/>
      <c r="O41" s="169"/>
      <c r="P41" s="324"/>
      <c r="Q41" s="169" t="s">
        <v>34</v>
      </c>
      <c r="R41" s="209"/>
      <c r="S41" s="169"/>
      <c r="T41" s="324"/>
      <c r="U41" s="169" t="s">
        <v>34</v>
      </c>
      <c r="V41" s="209"/>
      <c r="W41" s="169"/>
      <c r="X41" s="324"/>
      <c r="Y41" s="169" t="s">
        <v>34</v>
      </c>
      <c r="Z41" s="209"/>
      <c r="AA41" s="169"/>
      <c r="AB41" s="324"/>
      <c r="AC41" s="169" t="s">
        <v>34</v>
      </c>
      <c r="AD41" s="209"/>
      <c r="AE41" s="169"/>
      <c r="AF41" s="324"/>
      <c r="AG41" s="169" t="s">
        <v>34</v>
      </c>
      <c r="AH41" s="209"/>
      <c r="AI41" s="169"/>
      <c r="AJ41" s="324"/>
      <c r="AK41" s="169" t="s">
        <v>34</v>
      </c>
      <c r="AL41" s="209"/>
      <c r="AM41" s="169"/>
    </row>
    <row r="42" spans="2:39" ht="30" customHeight="1">
      <c r="B42" s="283">
        <f t="shared" si="6"/>
        <v>32</v>
      </c>
      <c r="C42" s="284" t="str">
        <f t="shared" si="5"/>
        <v>TC-EIF-MSG-32</v>
      </c>
      <c r="D42" s="286">
        <v>6</v>
      </c>
      <c r="E42" s="286">
        <v>11</v>
      </c>
      <c r="F42" s="289" t="s">
        <v>173</v>
      </c>
      <c r="G42" s="286" t="s">
        <v>141</v>
      </c>
      <c r="H42" s="268" t="s">
        <v>236</v>
      </c>
      <c r="I42" s="286">
        <v>20108</v>
      </c>
      <c r="J42" s="272"/>
      <c r="K42" s="169"/>
      <c r="L42" s="324"/>
      <c r="M42" s="169" t="s">
        <v>34</v>
      </c>
      <c r="N42" s="209"/>
      <c r="O42" s="169"/>
      <c r="P42" s="324"/>
      <c r="Q42" s="169" t="s">
        <v>34</v>
      </c>
      <c r="R42" s="209"/>
      <c r="S42" s="169"/>
      <c r="T42" s="324"/>
      <c r="U42" s="169" t="s">
        <v>34</v>
      </c>
      <c r="V42" s="209"/>
      <c r="W42" s="169"/>
      <c r="X42" s="324"/>
      <c r="Y42" s="169" t="s">
        <v>34</v>
      </c>
      <c r="Z42" s="209"/>
      <c r="AA42" s="169"/>
      <c r="AB42" s="324"/>
      <c r="AC42" s="169" t="s">
        <v>34</v>
      </c>
      <c r="AD42" s="209"/>
      <c r="AE42" s="169"/>
      <c r="AF42" s="324"/>
      <c r="AG42" s="169" t="s">
        <v>34</v>
      </c>
      <c r="AH42" s="209"/>
      <c r="AI42" s="169"/>
      <c r="AJ42" s="324"/>
      <c r="AK42" s="169" t="s">
        <v>34</v>
      </c>
      <c r="AL42" s="209"/>
      <c r="AM42" s="169"/>
    </row>
    <row r="43" spans="2:39" ht="30" customHeight="1">
      <c r="B43" s="283">
        <f t="shared" si="6"/>
        <v>33</v>
      </c>
      <c r="C43" s="284" t="str">
        <f t="shared" si="5"/>
        <v>TC-EIF-MSG-33</v>
      </c>
      <c r="D43" s="286">
        <v>6</v>
      </c>
      <c r="E43" s="286">
        <v>11</v>
      </c>
      <c r="F43" s="289" t="s">
        <v>173</v>
      </c>
      <c r="G43" s="286" t="s">
        <v>141</v>
      </c>
      <c r="H43" s="268" t="s">
        <v>237</v>
      </c>
      <c r="I43" s="286">
        <v>20101</v>
      </c>
      <c r="J43" s="272"/>
      <c r="K43" s="169"/>
      <c r="L43" s="324"/>
      <c r="M43" s="169" t="s">
        <v>34</v>
      </c>
      <c r="N43" s="209"/>
      <c r="O43" s="169"/>
      <c r="P43" s="324"/>
      <c r="Q43" s="169" t="s">
        <v>34</v>
      </c>
      <c r="R43" s="209"/>
      <c r="S43" s="169"/>
      <c r="T43" s="324"/>
      <c r="U43" s="169" t="s">
        <v>34</v>
      </c>
      <c r="V43" s="209"/>
      <c r="W43" s="169"/>
      <c r="X43" s="324"/>
      <c r="Y43" s="169" t="s">
        <v>34</v>
      </c>
      <c r="Z43" s="209"/>
      <c r="AA43" s="169"/>
      <c r="AB43" s="324"/>
      <c r="AC43" s="169" t="s">
        <v>34</v>
      </c>
      <c r="AD43" s="209"/>
      <c r="AE43" s="169"/>
      <c r="AF43" s="324"/>
      <c r="AG43" s="169" t="s">
        <v>34</v>
      </c>
      <c r="AH43" s="209"/>
      <c r="AI43" s="169"/>
      <c r="AJ43" s="324"/>
      <c r="AK43" s="169" t="s">
        <v>34</v>
      </c>
      <c r="AL43" s="209"/>
      <c r="AM43" s="169"/>
    </row>
    <row r="44" spans="2:39" ht="30" customHeight="1">
      <c r="B44" s="283">
        <f t="shared" ref="B44:B53" si="7">B43+1</f>
        <v>34</v>
      </c>
      <c r="C44" s="284" t="str">
        <f t="shared" si="5"/>
        <v>TC-EIF-MSG-34</v>
      </c>
      <c r="D44" s="286">
        <v>6</v>
      </c>
      <c r="E44" s="286">
        <v>11</v>
      </c>
      <c r="F44" s="289" t="s">
        <v>173</v>
      </c>
      <c r="G44" s="286" t="s">
        <v>141</v>
      </c>
      <c r="H44" s="268" t="s">
        <v>238</v>
      </c>
      <c r="I44" s="286">
        <v>20403</v>
      </c>
      <c r="J44" s="272"/>
      <c r="K44" s="169"/>
      <c r="L44" s="324"/>
      <c r="M44" s="169" t="s">
        <v>34</v>
      </c>
      <c r="N44" s="209"/>
      <c r="O44" s="169"/>
      <c r="P44" s="324"/>
      <c r="Q44" s="169" t="s">
        <v>34</v>
      </c>
      <c r="R44" s="209"/>
      <c r="S44" s="169"/>
      <c r="T44" s="324"/>
      <c r="U44" s="169" t="s">
        <v>34</v>
      </c>
      <c r="V44" s="209"/>
      <c r="W44" s="169"/>
      <c r="X44" s="324"/>
      <c r="Y44" s="169" t="s">
        <v>34</v>
      </c>
      <c r="Z44" s="209"/>
      <c r="AA44" s="169"/>
      <c r="AB44" s="324"/>
      <c r="AC44" s="169" t="s">
        <v>34</v>
      </c>
      <c r="AD44" s="209"/>
      <c r="AE44" s="169"/>
      <c r="AF44" s="324"/>
      <c r="AG44" s="169" t="s">
        <v>34</v>
      </c>
      <c r="AH44" s="209"/>
      <c r="AI44" s="169"/>
      <c r="AJ44" s="324"/>
      <c r="AK44" s="169" t="s">
        <v>34</v>
      </c>
      <c r="AL44" s="209"/>
      <c r="AM44" s="169"/>
    </row>
    <row r="45" spans="2:39" ht="30" customHeight="1">
      <c r="B45" s="283">
        <f t="shared" si="7"/>
        <v>35</v>
      </c>
      <c r="C45" s="284" t="str">
        <f>IF($B45="","",CONCATENATE("TC-EIF-MSG-",$B45))</f>
        <v>TC-EIF-MSG-35</v>
      </c>
      <c r="D45" s="286">
        <v>6</v>
      </c>
      <c r="E45" s="286">
        <v>11</v>
      </c>
      <c r="F45" s="289" t="s">
        <v>173</v>
      </c>
      <c r="G45" s="286" t="s">
        <v>12</v>
      </c>
      <c r="H45" s="268" t="s">
        <v>239</v>
      </c>
      <c r="I45" s="286">
        <v>20401</v>
      </c>
      <c r="J45" s="272"/>
      <c r="K45" s="169"/>
      <c r="L45" s="324"/>
      <c r="M45" s="169" t="s">
        <v>34</v>
      </c>
      <c r="N45" s="209"/>
      <c r="O45" s="169"/>
      <c r="P45" s="324"/>
      <c r="Q45" s="169" t="s">
        <v>34</v>
      </c>
      <c r="R45" s="209"/>
      <c r="S45" s="169"/>
      <c r="T45" s="324"/>
      <c r="U45" s="169" t="s">
        <v>34</v>
      </c>
      <c r="V45" s="209"/>
      <c r="W45" s="169"/>
      <c r="X45" s="324"/>
      <c r="Y45" s="169" t="s">
        <v>34</v>
      </c>
      <c r="Z45" s="209"/>
      <c r="AA45" s="169"/>
      <c r="AB45" s="324"/>
      <c r="AC45" s="169" t="s">
        <v>34</v>
      </c>
      <c r="AD45" s="209"/>
      <c r="AE45" s="169"/>
      <c r="AF45" s="324"/>
      <c r="AG45" s="169" t="s">
        <v>34</v>
      </c>
      <c r="AH45" s="209"/>
      <c r="AI45" s="169"/>
      <c r="AJ45" s="324"/>
      <c r="AK45" s="169" t="s">
        <v>34</v>
      </c>
      <c r="AL45" s="209"/>
      <c r="AM45" s="169"/>
    </row>
    <row r="46" spans="2:39" ht="30" customHeight="1">
      <c r="B46" s="283">
        <f t="shared" si="7"/>
        <v>36</v>
      </c>
      <c r="C46" s="284" t="str">
        <f>IF($B46="","",CONCATENATE("TC-EIF-MSG-",$B46))</f>
        <v>TC-EIF-MSG-36</v>
      </c>
      <c r="D46" s="286">
        <v>6</v>
      </c>
      <c r="E46" s="286">
        <v>11</v>
      </c>
      <c r="F46" s="289" t="s">
        <v>173</v>
      </c>
      <c r="G46" s="286" t="s">
        <v>141</v>
      </c>
      <c r="H46" s="268" t="s">
        <v>240</v>
      </c>
      <c r="I46" s="286">
        <v>20405</v>
      </c>
      <c r="J46" s="272"/>
      <c r="K46" s="169"/>
      <c r="L46" s="324"/>
      <c r="M46" s="169" t="s">
        <v>34</v>
      </c>
      <c r="N46" s="209"/>
      <c r="O46" s="169"/>
      <c r="P46" s="324"/>
      <c r="Q46" s="169" t="s">
        <v>34</v>
      </c>
      <c r="R46" s="209"/>
      <c r="S46" s="169"/>
      <c r="T46" s="324"/>
      <c r="U46" s="169" t="s">
        <v>34</v>
      </c>
      <c r="V46" s="209"/>
      <c r="W46" s="169"/>
      <c r="X46" s="324"/>
      <c r="Y46" s="169" t="s">
        <v>34</v>
      </c>
      <c r="Z46" s="209"/>
      <c r="AA46" s="169"/>
      <c r="AB46" s="324"/>
      <c r="AC46" s="169" t="s">
        <v>34</v>
      </c>
      <c r="AD46" s="209"/>
      <c r="AE46" s="169"/>
      <c r="AF46" s="324"/>
      <c r="AG46" s="169" t="s">
        <v>34</v>
      </c>
      <c r="AH46" s="209"/>
      <c r="AI46" s="169"/>
      <c r="AJ46" s="324"/>
      <c r="AK46" s="169" t="s">
        <v>34</v>
      </c>
      <c r="AL46" s="209"/>
      <c r="AM46" s="169"/>
    </row>
    <row r="47" spans="2:39" ht="30" customHeight="1">
      <c r="B47" s="283">
        <f t="shared" si="7"/>
        <v>37</v>
      </c>
      <c r="C47" s="284" t="str">
        <f t="shared" si="5"/>
        <v>TC-EIF-MSG-37</v>
      </c>
      <c r="D47" s="286">
        <v>6</v>
      </c>
      <c r="E47" s="286">
        <v>11</v>
      </c>
      <c r="F47" s="289" t="s">
        <v>173</v>
      </c>
      <c r="G47" s="286" t="s">
        <v>141</v>
      </c>
      <c r="H47" s="268" t="s">
        <v>241</v>
      </c>
      <c r="I47" s="286">
        <v>20102</v>
      </c>
      <c r="J47" s="272"/>
      <c r="K47" s="169"/>
      <c r="L47" s="324"/>
      <c r="M47" s="169" t="s">
        <v>34</v>
      </c>
      <c r="N47" s="209"/>
      <c r="O47" s="169"/>
      <c r="P47" s="324"/>
      <c r="Q47" s="169" t="s">
        <v>34</v>
      </c>
      <c r="R47" s="209"/>
      <c r="S47" s="169"/>
      <c r="T47" s="324"/>
      <c r="U47" s="169" t="s">
        <v>34</v>
      </c>
      <c r="V47" s="209"/>
      <c r="W47" s="169"/>
      <c r="X47" s="324"/>
      <c r="Y47" s="169" t="s">
        <v>34</v>
      </c>
      <c r="Z47" s="209"/>
      <c r="AA47" s="169"/>
      <c r="AB47" s="324"/>
      <c r="AC47" s="169" t="s">
        <v>34</v>
      </c>
      <c r="AD47" s="209"/>
      <c r="AE47" s="169"/>
      <c r="AF47" s="324"/>
      <c r="AG47" s="169" t="s">
        <v>34</v>
      </c>
      <c r="AH47" s="209"/>
      <c r="AI47" s="169"/>
      <c r="AJ47" s="324"/>
      <c r="AK47" s="169" t="s">
        <v>34</v>
      </c>
      <c r="AL47" s="209"/>
      <c r="AM47" s="169"/>
    </row>
    <row r="48" spans="2:39" ht="30" customHeight="1">
      <c r="B48" s="283">
        <f t="shared" si="7"/>
        <v>38</v>
      </c>
      <c r="C48" s="284" t="str">
        <f t="shared" si="5"/>
        <v>TC-EIF-MSG-38</v>
      </c>
      <c r="D48" s="286">
        <v>6</v>
      </c>
      <c r="E48" s="286">
        <v>11</v>
      </c>
      <c r="F48" s="289" t="s">
        <v>173</v>
      </c>
      <c r="G48" s="286" t="s">
        <v>12</v>
      </c>
      <c r="H48" s="268" t="s">
        <v>242</v>
      </c>
      <c r="I48" s="286">
        <v>20109</v>
      </c>
      <c r="J48" s="272"/>
      <c r="K48" s="169"/>
      <c r="L48" s="324"/>
      <c r="M48" s="169" t="s">
        <v>34</v>
      </c>
      <c r="N48" s="209"/>
      <c r="O48" s="169"/>
      <c r="P48" s="324"/>
      <c r="Q48" s="169" t="s">
        <v>34</v>
      </c>
      <c r="R48" s="209"/>
      <c r="S48" s="169"/>
      <c r="T48" s="327"/>
      <c r="U48" s="169" t="s">
        <v>34</v>
      </c>
      <c r="V48" s="281"/>
      <c r="W48" s="169"/>
      <c r="X48" s="324"/>
      <c r="Y48" s="169" t="s">
        <v>34</v>
      </c>
      <c r="Z48" s="209"/>
      <c r="AA48" s="169"/>
      <c r="AB48" s="324"/>
      <c r="AC48" s="169" t="s">
        <v>34</v>
      </c>
      <c r="AD48" s="209"/>
      <c r="AE48" s="169"/>
      <c r="AF48" s="324"/>
      <c r="AG48" s="169" t="s">
        <v>34</v>
      </c>
      <c r="AH48" s="267"/>
      <c r="AI48" s="169"/>
      <c r="AJ48" s="324"/>
      <c r="AK48" s="169" t="s">
        <v>34</v>
      </c>
      <c r="AL48" s="267"/>
      <c r="AM48" s="169"/>
    </row>
    <row r="49" spans="2:39" ht="30" customHeight="1">
      <c r="B49" s="283">
        <f t="shared" si="7"/>
        <v>39</v>
      </c>
      <c r="C49" s="284" t="str">
        <f t="shared" si="5"/>
        <v>TC-EIF-MSG-39</v>
      </c>
      <c r="D49" s="286">
        <v>6</v>
      </c>
      <c r="E49" s="286">
        <v>11</v>
      </c>
      <c r="F49" s="289" t="s">
        <v>173</v>
      </c>
      <c r="G49" s="286" t="s">
        <v>12</v>
      </c>
      <c r="H49" s="268" t="s">
        <v>243</v>
      </c>
      <c r="I49" s="286">
        <v>20103</v>
      </c>
      <c r="J49" s="272"/>
      <c r="K49" s="169"/>
      <c r="L49" s="324"/>
      <c r="M49" s="169" t="s">
        <v>34</v>
      </c>
      <c r="N49" s="209"/>
      <c r="O49" s="169"/>
      <c r="P49" s="324"/>
      <c r="Q49" s="169" t="s">
        <v>34</v>
      </c>
      <c r="R49" s="209"/>
      <c r="S49" s="169"/>
      <c r="T49" s="327"/>
      <c r="U49" s="169" t="s">
        <v>34</v>
      </c>
      <c r="V49" s="281"/>
      <c r="W49" s="169"/>
      <c r="X49" s="324"/>
      <c r="Y49" s="169" t="s">
        <v>34</v>
      </c>
      <c r="Z49" s="209"/>
      <c r="AA49" s="169"/>
      <c r="AB49" s="324"/>
      <c r="AC49" s="169" t="s">
        <v>34</v>
      </c>
      <c r="AD49" s="209"/>
      <c r="AE49" s="169"/>
      <c r="AF49" s="324"/>
      <c r="AG49" s="169" t="s">
        <v>34</v>
      </c>
      <c r="AH49" s="267"/>
      <c r="AI49" s="169"/>
      <c r="AJ49" s="324"/>
      <c r="AK49" s="169" t="s">
        <v>34</v>
      </c>
      <c r="AL49" s="267"/>
      <c r="AM49" s="169"/>
    </row>
    <row r="50" spans="2:39" ht="30" customHeight="1">
      <c r="B50" s="283">
        <f t="shared" si="7"/>
        <v>40</v>
      </c>
      <c r="C50" s="284" t="str">
        <f t="shared" si="5"/>
        <v>TC-EIF-MSG-40</v>
      </c>
      <c r="D50" s="286">
        <v>6</v>
      </c>
      <c r="E50" s="286">
        <v>11</v>
      </c>
      <c r="F50" s="289" t="s">
        <v>173</v>
      </c>
      <c r="G50" s="286" t="s">
        <v>12</v>
      </c>
      <c r="H50" s="268" t="s">
        <v>244</v>
      </c>
      <c r="I50" s="286">
        <v>20104</v>
      </c>
      <c r="J50" s="272"/>
      <c r="K50" s="169"/>
      <c r="L50" s="324"/>
      <c r="M50" s="169" t="s">
        <v>34</v>
      </c>
      <c r="N50" s="209"/>
      <c r="O50" s="169"/>
      <c r="P50" s="324"/>
      <c r="Q50" s="169" t="s">
        <v>34</v>
      </c>
      <c r="R50" s="209"/>
      <c r="S50" s="169"/>
      <c r="T50" s="327"/>
      <c r="U50" s="169" t="s">
        <v>34</v>
      </c>
      <c r="V50" s="281"/>
      <c r="W50" s="169"/>
      <c r="X50" s="324"/>
      <c r="Y50" s="169" t="s">
        <v>34</v>
      </c>
      <c r="Z50" s="209"/>
      <c r="AA50" s="169"/>
      <c r="AB50" s="324"/>
      <c r="AC50" s="169" t="s">
        <v>34</v>
      </c>
      <c r="AD50" s="209"/>
      <c r="AE50" s="169"/>
      <c r="AF50" s="324"/>
      <c r="AG50" s="169" t="s">
        <v>34</v>
      </c>
      <c r="AH50" s="267"/>
      <c r="AI50" s="169"/>
      <c r="AJ50" s="324"/>
      <c r="AK50" s="169" t="s">
        <v>34</v>
      </c>
      <c r="AL50" s="267"/>
      <c r="AM50" s="169"/>
    </row>
    <row r="51" spans="2:39" ht="30" customHeight="1">
      <c r="B51" s="283">
        <f t="shared" si="7"/>
        <v>41</v>
      </c>
      <c r="C51" s="284" t="str">
        <f t="shared" si="5"/>
        <v>TC-EIF-MSG-41</v>
      </c>
      <c r="D51" s="285">
        <v>6</v>
      </c>
      <c r="E51" s="285">
        <v>11</v>
      </c>
      <c r="F51" s="235" t="s">
        <v>173</v>
      </c>
      <c r="G51" s="285" t="s">
        <v>12</v>
      </c>
      <c r="H51" s="265" t="s">
        <v>245</v>
      </c>
      <c r="I51" s="285">
        <v>50102</v>
      </c>
      <c r="J51" s="270"/>
      <c r="K51" s="168"/>
      <c r="L51" s="326"/>
      <c r="M51" s="168" t="s">
        <v>177</v>
      </c>
      <c r="N51" s="207"/>
      <c r="O51" s="168"/>
      <c r="P51" s="326"/>
      <c r="Q51" s="168" t="s">
        <v>177</v>
      </c>
      <c r="R51" s="207"/>
      <c r="S51" s="168"/>
      <c r="T51" s="336"/>
      <c r="U51" s="168" t="s">
        <v>177</v>
      </c>
      <c r="V51" s="337"/>
      <c r="W51" s="168"/>
      <c r="X51" s="326"/>
      <c r="Y51" s="168" t="s">
        <v>177</v>
      </c>
      <c r="Z51" s="207"/>
      <c r="AA51" s="168"/>
      <c r="AB51" s="326"/>
      <c r="AC51" s="168" t="s">
        <v>177</v>
      </c>
      <c r="AD51" s="207"/>
      <c r="AE51" s="168"/>
      <c r="AF51" s="326"/>
      <c r="AG51" s="168" t="s">
        <v>177</v>
      </c>
      <c r="AH51" s="338"/>
      <c r="AI51" s="168"/>
      <c r="AJ51" s="326"/>
      <c r="AK51" s="168" t="s">
        <v>177</v>
      </c>
      <c r="AL51" s="338"/>
      <c r="AM51" s="168"/>
    </row>
    <row r="52" spans="2:39" ht="30" customHeight="1">
      <c r="B52" s="283">
        <f t="shared" si="7"/>
        <v>42</v>
      </c>
      <c r="C52" s="284" t="str">
        <f t="shared" si="5"/>
        <v>TC-EIF-MSG-42</v>
      </c>
      <c r="D52" s="285">
        <v>6</v>
      </c>
      <c r="E52" s="285">
        <v>11</v>
      </c>
      <c r="F52" s="235" t="s">
        <v>173</v>
      </c>
      <c r="G52" s="285" t="s">
        <v>12</v>
      </c>
      <c r="H52" s="265" t="s">
        <v>246</v>
      </c>
      <c r="I52" s="285">
        <v>50103</v>
      </c>
      <c r="J52" s="270"/>
      <c r="K52" s="168"/>
      <c r="L52" s="326"/>
      <c r="M52" s="168" t="s">
        <v>177</v>
      </c>
      <c r="N52" s="207"/>
      <c r="O52" s="168"/>
      <c r="P52" s="326"/>
      <c r="Q52" s="168" t="s">
        <v>177</v>
      </c>
      <c r="R52" s="207"/>
      <c r="S52" s="168"/>
      <c r="T52" s="326"/>
      <c r="U52" s="168" t="s">
        <v>177</v>
      </c>
      <c r="V52" s="207"/>
      <c r="W52" s="168"/>
      <c r="X52" s="326"/>
      <c r="Y52" s="168" t="s">
        <v>177</v>
      </c>
      <c r="Z52" s="207"/>
      <c r="AA52" s="168"/>
      <c r="AB52" s="326"/>
      <c r="AC52" s="168" t="s">
        <v>177</v>
      </c>
      <c r="AD52" s="207"/>
      <c r="AE52" s="168"/>
      <c r="AF52" s="326"/>
      <c r="AG52" s="168" t="s">
        <v>177</v>
      </c>
      <c r="AH52" s="338"/>
      <c r="AI52" s="168"/>
      <c r="AJ52" s="326"/>
      <c r="AK52" s="168" t="s">
        <v>177</v>
      </c>
      <c r="AL52" s="338"/>
      <c r="AM52" s="168"/>
    </row>
    <row r="53" spans="2:39" ht="30" customHeight="1">
      <c r="B53" s="283">
        <f t="shared" si="7"/>
        <v>43</v>
      </c>
      <c r="C53" s="284" t="str">
        <f t="shared" si="5"/>
        <v>TC-EIF-MSG-43</v>
      </c>
      <c r="D53" s="285">
        <v>6</v>
      </c>
      <c r="E53" s="285">
        <v>11</v>
      </c>
      <c r="F53" s="235" t="s">
        <v>173</v>
      </c>
      <c r="G53" s="285" t="s">
        <v>12</v>
      </c>
      <c r="H53" s="265" t="s">
        <v>247</v>
      </c>
      <c r="I53" s="285">
        <v>90101</v>
      </c>
      <c r="J53" s="270"/>
      <c r="K53" s="168"/>
      <c r="L53" s="326"/>
      <c r="M53" s="168" t="s">
        <v>177</v>
      </c>
      <c r="N53" s="207"/>
      <c r="O53" s="168"/>
      <c r="P53" s="326"/>
      <c r="Q53" s="168" t="s">
        <v>177</v>
      </c>
      <c r="R53" s="207"/>
      <c r="S53" s="168"/>
      <c r="T53" s="326"/>
      <c r="U53" s="168" t="s">
        <v>177</v>
      </c>
      <c r="V53" s="207"/>
      <c r="W53" s="168"/>
      <c r="X53" s="326"/>
      <c r="Y53" s="168" t="s">
        <v>177</v>
      </c>
      <c r="Z53" s="207"/>
      <c r="AA53" s="168"/>
      <c r="AB53" s="326"/>
      <c r="AC53" s="168" t="s">
        <v>177</v>
      </c>
      <c r="AD53" s="207"/>
      <c r="AE53" s="168"/>
      <c r="AF53" s="326"/>
      <c r="AG53" s="168" t="s">
        <v>177</v>
      </c>
      <c r="AH53" s="338"/>
      <c r="AI53" s="168"/>
      <c r="AJ53" s="326"/>
      <c r="AK53" s="168" t="s">
        <v>177</v>
      </c>
      <c r="AL53" s="338"/>
      <c r="AM53" s="168"/>
    </row>
    <row r="54" spans="2:39" ht="30" customHeight="1">
      <c r="B54" s="283">
        <f t="shared" ref="B54:B60" si="8">B53+1</f>
        <v>44</v>
      </c>
      <c r="C54" s="284" t="str">
        <f t="shared" si="5"/>
        <v>TC-EIF-MSG-44</v>
      </c>
      <c r="D54" s="294">
        <v>6</v>
      </c>
      <c r="E54" s="294">
        <v>11</v>
      </c>
      <c r="F54" s="295" t="s">
        <v>173</v>
      </c>
      <c r="G54" s="294" t="s">
        <v>12</v>
      </c>
      <c r="H54" s="296" t="s">
        <v>248</v>
      </c>
      <c r="I54" s="294">
        <v>10108</v>
      </c>
      <c r="J54" s="297"/>
      <c r="K54" s="298"/>
      <c r="L54" s="328"/>
      <c r="M54" s="298" t="s">
        <v>177</v>
      </c>
      <c r="N54" s="299"/>
      <c r="O54" s="298"/>
      <c r="P54" s="328"/>
      <c r="Q54" s="298" t="s">
        <v>177</v>
      </c>
      <c r="R54" s="299"/>
      <c r="S54" s="298"/>
      <c r="T54" s="328"/>
      <c r="U54" s="298" t="s">
        <v>177</v>
      </c>
      <c r="V54" s="299"/>
      <c r="W54" s="298"/>
      <c r="X54" s="328"/>
      <c r="Y54" s="298" t="s">
        <v>177</v>
      </c>
      <c r="Z54" s="299"/>
      <c r="AA54" s="298"/>
      <c r="AB54" s="328"/>
      <c r="AC54" s="298" t="s">
        <v>177</v>
      </c>
      <c r="AD54" s="299"/>
      <c r="AE54" s="298"/>
      <c r="AF54" s="328"/>
      <c r="AG54" s="298" t="s">
        <v>177</v>
      </c>
      <c r="AH54" s="301"/>
      <c r="AI54" s="298"/>
      <c r="AJ54" s="328"/>
      <c r="AK54" s="298" t="s">
        <v>177</v>
      </c>
      <c r="AL54" s="301"/>
      <c r="AM54" s="298"/>
    </row>
    <row r="55" spans="2:39" ht="30" customHeight="1">
      <c r="B55" s="283">
        <f t="shared" si="8"/>
        <v>45</v>
      </c>
      <c r="C55" s="284" t="str">
        <f t="shared" si="5"/>
        <v>TC-EIF-MSG-45</v>
      </c>
      <c r="D55" s="294">
        <v>6</v>
      </c>
      <c r="E55" s="294">
        <v>11</v>
      </c>
      <c r="F55" s="295" t="s">
        <v>173</v>
      </c>
      <c r="G55" s="294" t="s">
        <v>12</v>
      </c>
      <c r="H55" s="296" t="s">
        <v>249</v>
      </c>
      <c r="I55" s="294">
        <v>10109</v>
      </c>
      <c r="J55" s="297"/>
      <c r="K55" s="298"/>
      <c r="L55" s="328"/>
      <c r="M55" s="298" t="s">
        <v>177</v>
      </c>
      <c r="N55" s="299"/>
      <c r="O55" s="298"/>
      <c r="P55" s="328"/>
      <c r="Q55" s="298" t="s">
        <v>177</v>
      </c>
      <c r="R55" s="299"/>
      <c r="S55" s="298"/>
      <c r="T55" s="328"/>
      <c r="U55" s="298" t="s">
        <v>177</v>
      </c>
      <c r="V55" s="299"/>
      <c r="W55" s="298"/>
      <c r="X55" s="328"/>
      <c r="Y55" s="298" t="s">
        <v>177</v>
      </c>
      <c r="Z55" s="299"/>
      <c r="AA55" s="298"/>
      <c r="AB55" s="328"/>
      <c r="AC55" s="298" t="s">
        <v>177</v>
      </c>
      <c r="AD55" s="299"/>
      <c r="AE55" s="298"/>
      <c r="AF55" s="328"/>
      <c r="AG55" s="298" t="s">
        <v>177</v>
      </c>
      <c r="AH55" s="301"/>
      <c r="AI55" s="298"/>
      <c r="AJ55" s="328"/>
      <c r="AK55" s="298" t="s">
        <v>177</v>
      </c>
      <c r="AL55" s="301"/>
      <c r="AM55" s="298"/>
    </row>
    <row r="56" spans="2:39" ht="30" customHeight="1">
      <c r="B56" s="283">
        <f t="shared" si="8"/>
        <v>46</v>
      </c>
      <c r="C56" s="284" t="str">
        <f t="shared" si="5"/>
        <v>TC-EIF-MSG-46</v>
      </c>
      <c r="D56" s="294">
        <v>6</v>
      </c>
      <c r="E56" s="294">
        <v>11</v>
      </c>
      <c r="F56" s="295" t="s">
        <v>173</v>
      </c>
      <c r="G56" s="294" t="s">
        <v>12</v>
      </c>
      <c r="H56" s="296" t="s">
        <v>250</v>
      </c>
      <c r="I56" s="294">
        <v>10201</v>
      </c>
      <c r="J56" s="297"/>
      <c r="K56" s="298"/>
      <c r="L56" s="328"/>
      <c r="M56" s="298" t="s">
        <v>177</v>
      </c>
      <c r="N56" s="299"/>
      <c r="O56" s="298"/>
      <c r="P56" s="328"/>
      <c r="Q56" s="298" t="s">
        <v>177</v>
      </c>
      <c r="R56" s="299"/>
      <c r="S56" s="298"/>
      <c r="T56" s="328"/>
      <c r="U56" s="298" t="s">
        <v>177</v>
      </c>
      <c r="V56" s="299"/>
      <c r="W56" s="298"/>
      <c r="X56" s="328"/>
      <c r="Y56" s="298" t="s">
        <v>177</v>
      </c>
      <c r="Z56" s="299"/>
      <c r="AA56" s="298"/>
      <c r="AB56" s="328"/>
      <c r="AC56" s="298" t="s">
        <v>177</v>
      </c>
      <c r="AD56" s="299"/>
      <c r="AE56" s="298"/>
      <c r="AF56" s="328"/>
      <c r="AG56" s="298" t="s">
        <v>177</v>
      </c>
      <c r="AH56" s="301"/>
      <c r="AI56" s="298"/>
      <c r="AJ56" s="328"/>
      <c r="AK56" s="298" t="s">
        <v>177</v>
      </c>
      <c r="AL56" s="301"/>
      <c r="AM56" s="298"/>
    </row>
    <row r="57" spans="2:39" ht="30" customHeight="1">
      <c r="B57" s="283">
        <f t="shared" si="8"/>
        <v>47</v>
      </c>
      <c r="C57" s="284" t="str">
        <f t="shared" si="5"/>
        <v>TC-EIF-MSG-47</v>
      </c>
      <c r="D57" s="294">
        <v>6</v>
      </c>
      <c r="E57" s="294">
        <v>11</v>
      </c>
      <c r="F57" s="295" t="s">
        <v>173</v>
      </c>
      <c r="G57" s="294" t="s">
        <v>12</v>
      </c>
      <c r="H57" s="296" t="s">
        <v>251</v>
      </c>
      <c r="I57" s="294">
        <v>10202</v>
      </c>
      <c r="J57" s="297"/>
      <c r="K57" s="298"/>
      <c r="L57" s="328"/>
      <c r="M57" s="298" t="s">
        <v>177</v>
      </c>
      <c r="N57" s="299"/>
      <c r="O57" s="298"/>
      <c r="P57" s="328"/>
      <c r="Q57" s="298" t="s">
        <v>177</v>
      </c>
      <c r="R57" s="299"/>
      <c r="S57" s="298"/>
      <c r="T57" s="328"/>
      <c r="U57" s="298" t="s">
        <v>177</v>
      </c>
      <c r="V57" s="299"/>
      <c r="W57" s="298"/>
      <c r="X57" s="328"/>
      <c r="Y57" s="298" t="s">
        <v>177</v>
      </c>
      <c r="Z57" s="299"/>
      <c r="AA57" s="298"/>
      <c r="AB57" s="328"/>
      <c r="AC57" s="298" t="s">
        <v>177</v>
      </c>
      <c r="AD57" s="299"/>
      <c r="AE57" s="298"/>
      <c r="AF57" s="328"/>
      <c r="AG57" s="298" t="s">
        <v>177</v>
      </c>
      <c r="AH57" s="301"/>
      <c r="AI57" s="298"/>
      <c r="AJ57" s="328"/>
      <c r="AK57" s="298" t="s">
        <v>177</v>
      </c>
      <c r="AL57" s="301"/>
      <c r="AM57" s="298"/>
    </row>
    <row r="58" spans="2:39" ht="30" customHeight="1">
      <c r="B58" s="283">
        <f t="shared" si="8"/>
        <v>48</v>
      </c>
      <c r="C58" s="284" t="str">
        <f t="shared" si="5"/>
        <v>TC-EIF-MSG-48</v>
      </c>
      <c r="D58" s="294">
        <v>6</v>
      </c>
      <c r="E58" s="294">
        <v>11</v>
      </c>
      <c r="F58" s="295" t="s">
        <v>173</v>
      </c>
      <c r="G58" s="294" t="s">
        <v>12</v>
      </c>
      <c r="H58" s="296" t="s">
        <v>252</v>
      </c>
      <c r="I58" s="294">
        <v>10203</v>
      </c>
      <c r="J58" s="297"/>
      <c r="K58" s="298"/>
      <c r="L58" s="328"/>
      <c r="M58" s="298" t="s">
        <v>177</v>
      </c>
      <c r="N58" s="299"/>
      <c r="O58" s="298"/>
      <c r="P58" s="328"/>
      <c r="Q58" s="298" t="s">
        <v>177</v>
      </c>
      <c r="R58" s="299"/>
      <c r="S58" s="298"/>
      <c r="T58" s="328"/>
      <c r="U58" s="298" t="s">
        <v>177</v>
      </c>
      <c r="V58" s="299"/>
      <c r="W58" s="298"/>
      <c r="X58" s="328"/>
      <c r="Y58" s="298" t="s">
        <v>177</v>
      </c>
      <c r="Z58" s="299"/>
      <c r="AA58" s="298"/>
      <c r="AB58" s="328"/>
      <c r="AC58" s="298" t="s">
        <v>177</v>
      </c>
      <c r="AD58" s="299"/>
      <c r="AE58" s="298"/>
      <c r="AF58" s="328"/>
      <c r="AG58" s="298" t="s">
        <v>177</v>
      </c>
      <c r="AH58" s="301"/>
      <c r="AI58" s="298"/>
      <c r="AJ58" s="328"/>
      <c r="AK58" s="298" t="s">
        <v>177</v>
      </c>
      <c r="AL58" s="301"/>
      <c r="AM58" s="298"/>
    </row>
    <row r="59" spans="2:39" ht="30" customHeight="1">
      <c r="B59" s="283">
        <f t="shared" si="8"/>
        <v>49</v>
      </c>
      <c r="C59" s="284" t="str">
        <f t="shared" si="5"/>
        <v>TC-EIF-MSG-49</v>
      </c>
      <c r="D59" s="294">
        <v>6</v>
      </c>
      <c r="E59" s="294">
        <v>11</v>
      </c>
      <c r="F59" s="295" t="s">
        <v>173</v>
      </c>
      <c r="G59" s="294" t="s">
        <v>12</v>
      </c>
      <c r="H59" s="296" t="s">
        <v>253</v>
      </c>
      <c r="I59" s="294">
        <v>10204</v>
      </c>
      <c r="J59" s="297"/>
      <c r="K59" s="298"/>
      <c r="L59" s="328"/>
      <c r="M59" s="298" t="s">
        <v>177</v>
      </c>
      <c r="N59" s="299"/>
      <c r="O59" s="298"/>
      <c r="P59" s="328"/>
      <c r="Q59" s="298" t="s">
        <v>177</v>
      </c>
      <c r="R59" s="299"/>
      <c r="S59" s="298"/>
      <c r="T59" s="328"/>
      <c r="U59" s="298" t="s">
        <v>177</v>
      </c>
      <c r="V59" s="299"/>
      <c r="W59" s="298"/>
      <c r="X59" s="328"/>
      <c r="Y59" s="298" t="s">
        <v>177</v>
      </c>
      <c r="Z59" s="299"/>
      <c r="AA59" s="298"/>
      <c r="AB59" s="328"/>
      <c r="AC59" s="298" t="s">
        <v>177</v>
      </c>
      <c r="AD59" s="299"/>
      <c r="AE59" s="298"/>
      <c r="AF59" s="328"/>
      <c r="AG59" s="298" t="s">
        <v>177</v>
      </c>
      <c r="AH59" s="301"/>
      <c r="AI59" s="298"/>
      <c r="AJ59" s="328"/>
      <c r="AK59" s="298" t="s">
        <v>177</v>
      </c>
      <c r="AL59" s="301"/>
      <c r="AM59" s="298"/>
    </row>
    <row r="60" spans="2:39" ht="30" customHeight="1">
      <c r="B60" s="283">
        <f t="shared" si="8"/>
        <v>50</v>
      </c>
      <c r="C60" s="284" t="str">
        <f t="shared" si="5"/>
        <v>TC-EIF-MSG-50</v>
      </c>
      <c r="D60" s="294">
        <v>6</v>
      </c>
      <c r="E60" s="294">
        <v>11</v>
      </c>
      <c r="F60" s="295" t="s">
        <v>173</v>
      </c>
      <c r="G60" s="294" t="s">
        <v>12</v>
      </c>
      <c r="H60" s="296" t="s">
        <v>254</v>
      </c>
      <c r="I60" s="294">
        <v>10205</v>
      </c>
      <c r="J60" s="297"/>
      <c r="K60" s="298"/>
      <c r="L60" s="328"/>
      <c r="M60" s="298" t="s">
        <v>177</v>
      </c>
      <c r="N60" s="299"/>
      <c r="O60" s="298"/>
      <c r="P60" s="328"/>
      <c r="Q60" s="298" t="s">
        <v>177</v>
      </c>
      <c r="R60" s="299"/>
      <c r="S60" s="298"/>
      <c r="T60" s="328"/>
      <c r="U60" s="298" t="s">
        <v>177</v>
      </c>
      <c r="V60" s="299"/>
      <c r="W60" s="298"/>
      <c r="X60" s="328"/>
      <c r="Y60" s="298" t="s">
        <v>177</v>
      </c>
      <c r="Z60" s="299"/>
      <c r="AA60" s="298"/>
      <c r="AB60" s="328"/>
      <c r="AC60" s="298" t="s">
        <v>177</v>
      </c>
      <c r="AD60" s="299"/>
      <c r="AE60" s="298"/>
      <c r="AF60" s="328"/>
      <c r="AG60" s="298" t="s">
        <v>177</v>
      </c>
      <c r="AH60" s="301"/>
      <c r="AI60" s="298"/>
      <c r="AJ60" s="328"/>
      <c r="AK60" s="298" t="s">
        <v>177</v>
      </c>
      <c r="AL60" s="301"/>
      <c r="AM60" s="298"/>
    </row>
    <row r="61" spans="2:39" ht="30" customHeight="1">
      <c r="B61" s="283">
        <f>B60+1</f>
        <v>51</v>
      </c>
      <c r="C61" s="284" t="str">
        <f t="shared" si="5"/>
        <v>TC-EIF-MSG-51</v>
      </c>
      <c r="D61" s="294">
        <v>6</v>
      </c>
      <c r="E61" s="294">
        <v>11</v>
      </c>
      <c r="F61" s="295" t="s">
        <v>173</v>
      </c>
      <c r="G61" s="294" t="s">
        <v>12</v>
      </c>
      <c r="H61" s="296" t="s">
        <v>255</v>
      </c>
      <c r="I61" s="294">
        <v>10206</v>
      </c>
      <c r="J61" s="297"/>
      <c r="K61" s="298"/>
      <c r="L61" s="328"/>
      <c r="M61" s="298" t="s">
        <v>177</v>
      </c>
      <c r="N61" s="299"/>
      <c r="O61" s="298"/>
      <c r="P61" s="328"/>
      <c r="Q61" s="298" t="s">
        <v>177</v>
      </c>
      <c r="R61" s="299"/>
      <c r="S61" s="298"/>
      <c r="T61" s="328"/>
      <c r="U61" s="298" t="s">
        <v>177</v>
      </c>
      <c r="V61" s="299"/>
      <c r="W61" s="298"/>
      <c r="X61" s="328"/>
      <c r="Y61" s="298" t="s">
        <v>177</v>
      </c>
      <c r="Z61" s="299"/>
      <c r="AA61" s="298"/>
      <c r="AB61" s="328"/>
      <c r="AC61" s="298" t="s">
        <v>177</v>
      </c>
      <c r="AD61" s="299"/>
      <c r="AE61" s="298"/>
      <c r="AF61" s="328"/>
      <c r="AG61" s="298" t="s">
        <v>177</v>
      </c>
      <c r="AH61" s="301"/>
      <c r="AI61" s="298"/>
      <c r="AJ61" s="328"/>
      <c r="AK61" s="298" t="s">
        <v>177</v>
      </c>
      <c r="AL61" s="301"/>
      <c r="AM61" s="298"/>
    </row>
    <row r="62" spans="2:39" ht="30" customHeight="1">
      <c r="B62" s="283">
        <f>B61+1</f>
        <v>52</v>
      </c>
      <c r="C62" s="284" t="str">
        <f t="shared" si="5"/>
        <v>TC-EIF-MSG-52</v>
      </c>
      <c r="D62" s="294">
        <v>6</v>
      </c>
      <c r="E62" s="294">
        <v>11</v>
      </c>
      <c r="F62" s="295" t="s">
        <v>173</v>
      </c>
      <c r="G62" s="294" t="s">
        <v>12</v>
      </c>
      <c r="H62" s="296" t="s">
        <v>256</v>
      </c>
      <c r="I62" s="294">
        <v>50105</v>
      </c>
      <c r="J62" s="297"/>
      <c r="K62" s="298"/>
      <c r="L62" s="328"/>
      <c r="M62" s="298" t="s">
        <v>177</v>
      </c>
      <c r="N62" s="299"/>
      <c r="O62" s="298"/>
      <c r="P62" s="328"/>
      <c r="Q62" s="298" t="s">
        <v>177</v>
      </c>
      <c r="R62" s="299"/>
      <c r="S62" s="298"/>
      <c r="T62" s="328"/>
      <c r="U62" s="298" t="s">
        <v>177</v>
      </c>
      <c r="V62" s="299"/>
      <c r="W62" s="298"/>
      <c r="X62" s="328"/>
      <c r="Y62" s="298" t="s">
        <v>177</v>
      </c>
      <c r="Z62" s="299"/>
      <c r="AA62" s="298"/>
      <c r="AB62" s="328"/>
      <c r="AC62" s="298" t="s">
        <v>177</v>
      </c>
      <c r="AD62" s="299"/>
      <c r="AE62" s="298"/>
      <c r="AF62" s="328"/>
      <c r="AG62" s="298" t="s">
        <v>177</v>
      </c>
      <c r="AH62" s="301"/>
      <c r="AI62" s="298"/>
      <c r="AJ62" s="328"/>
      <c r="AK62" s="298" t="s">
        <v>177</v>
      </c>
      <c r="AL62" s="301"/>
      <c r="AM62" s="298"/>
    </row>
    <row r="63" spans="2:39" ht="30" customHeight="1">
      <c r="B63" s="283">
        <f t="shared" ref="B63:B65" si="9">B62+1</f>
        <v>53</v>
      </c>
      <c r="C63" s="284" t="str">
        <f t="shared" si="5"/>
        <v>TC-EIF-MSG-53</v>
      </c>
      <c r="D63" s="294">
        <v>6</v>
      </c>
      <c r="E63" s="294">
        <v>11</v>
      </c>
      <c r="F63" s="295" t="s">
        <v>173</v>
      </c>
      <c r="G63" s="294" t="s">
        <v>12</v>
      </c>
      <c r="H63" s="296" t="s">
        <v>257</v>
      </c>
      <c r="I63" s="294">
        <v>50104</v>
      </c>
      <c r="J63" s="297"/>
      <c r="K63" s="298"/>
      <c r="L63" s="328"/>
      <c r="M63" s="298" t="s">
        <v>177</v>
      </c>
      <c r="N63" s="299"/>
      <c r="O63" s="298"/>
      <c r="P63" s="328"/>
      <c r="Q63" s="298" t="s">
        <v>177</v>
      </c>
      <c r="R63" s="299"/>
      <c r="S63" s="298"/>
      <c r="T63" s="328"/>
      <c r="U63" s="298" t="s">
        <v>177</v>
      </c>
      <c r="V63" s="299"/>
      <c r="W63" s="298"/>
      <c r="X63" s="328"/>
      <c r="Y63" s="298" t="s">
        <v>177</v>
      </c>
      <c r="Z63" s="299"/>
      <c r="AA63" s="298"/>
      <c r="AB63" s="328"/>
      <c r="AC63" s="298" t="s">
        <v>177</v>
      </c>
      <c r="AD63" s="299"/>
      <c r="AE63" s="298"/>
      <c r="AF63" s="328"/>
      <c r="AG63" s="298" t="s">
        <v>177</v>
      </c>
      <c r="AH63" s="301"/>
      <c r="AI63" s="298"/>
      <c r="AJ63" s="328"/>
      <c r="AK63" s="298" t="s">
        <v>177</v>
      </c>
      <c r="AL63" s="301"/>
      <c r="AM63" s="298"/>
    </row>
    <row r="64" spans="2:39" ht="30" customHeight="1">
      <c r="B64" s="283">
        <f t="shared" si="9"/>
        <v>54</v>
      </c>
      <c r="C64" s="284" t="str">
        <f t="shared" si="5"/>
        <v>TC-EIF-MSG-54</v>
      </c>
      <c r="D64" s="294">
        <v>6</v>
      </c>
      <c r="E64" s="294">
        <v>11</v>
      </c>
      <c r="F64" s="295" t="s">
        <v>173</v>
      </c>
      <c r="G64" s="294" t="s">
        <v>12</v>
      </c>
      <c r="H64" s="296" t="s">
        <v>258</v>
      </c>
      <c r="I64" s="294">
        <v>50105</v>
      </c>
      <c r="J64" s="297"/>
      <c r="K64" s="298"/>
      <c r="L64" s="328"/>
      <c r="M64" s="298" t="s">
        <v>177</v>
      </c>
      <c r="N64" s="299"/>
      <c r="O64" s="298"/>
      <c r="P64" s="328"/>
      <c r="Q64" s="298" t="s">
        <v>177</v>
      </c>
      <c r="R64" s="299"/>
      <c r="S64" s="298"/>
      <c r="T64" s="329"/>
      <c r="U64" s="298" t="s">
        <v>177</v>
      </c>
      <c r="V64" s="339"/>
      <c r="W64" s="298"/>
      <c r="X64" s="328"/>
      <c r="Y64" s="298" t="s">
        <v>177</v>
      </c>
      <c r="Z64" s="299"/>
      <c r="AA64" s="298"/>
      <c r="AB64" s="328"/>
      <c r="AC64" s="298" t="s">
        <v>177</v>
      </c>
      <c r="AD64" s="299"/>
      <c r="AE64" s="298"/>
      <c r="AF64" s="328"/>
      <c r="AG64" s="298" t="s">
        <v>177</v>
      </c>
      <c r="AH64" s="301"/>
      <c r="AI64" s="298"/>
      <c r="AJ64" s="328"/>
      <c r="AK64" s="298" t="s">
        <v>177</v>
      </c>
      <c r="AL64" s="301"/>
      <c r="AM64" s="298"/>
    </row>
    <row r="65" spans="2:39" ht="30" customHeight="1">
      <c r="B65" s="283">
        <f t="shared" si="9"/>
        <v>55</v>
      </c>
      <c r="C65" s="284" t="str">
        <f t="shared" si="5"/>
        <v>TC-EIF-MSG-55</v>
      </c>
      <c r="D65" s="285">
        <v>6</v>
      </c>
      <c r="E65" s="285">
        <v>12</v>
      </c>
      <c r="F65" s="235" t="s">
        <v>172</v>
      </c>
      <c r="G65" s="285" t="s">
        <v>142</v>
      </c>
      <c r="H65" s="265" t="s">
        <v>37</v>
      </c>
      <c r="I65" s="285" t="s">
        <v>130</v>
      </c>
      <c r="J65" s="270"/>
      <c r="K65" s="168"/>
      <c r="L65" s="326"/>
      <c r="M65" s="168" t="s">
        <v>177</v>
      </c>
      <c r="N65" s="207"/>
      <c r="O65" s="168"/>
      <c r="P65" s="326"/>
      <c r="Q65" s="168" t="s">
        <v>177</v>
      </c>
      <c r="R65" s="207"/>
      <c r="S65" s="168"/>
      <c r="T65" s="326"/>
      <c r="U65" s="168" t="s">
        <v>177</v>
      </c>
      <c r="V65" s="207"/>
      <c r="W65" s="168"/>
      <c r="X65" s="326"/>
      <c r="Y65" s="168" t="s">
        <v>177</v>
      </c>
      <c r="Z65" s="207"/>
      <c r="AA65" s="168"/>
      <c r="AB65" s="326"/>
      <c r="AC65" s="168" t="s">
        <v>177</v>
      </c>
      <c r="AD65" s="207"/>
      <c r="AE65" s="168"/>
      <c r="AF65" s="326"/>
      <c r="AG65" s="168" t="s">
        <v>177</v>
      </c>
      <c r="AH65" s="207"/>
      <c r="AI65" s="168"/>
      <c r="AJ65" s="326"/>
      <c r="AK65" s="168" t="s">
        <v>177</v>
      </c>
      <c r="AL65" s="207"/>
      <c r="AM65" s="168"/>
    </row>
    <row r="66" spans="2:39" s="264" customFormat="1" ht="30" customHeight="1">
      <c r="B66" s="283" t="str">
        <f>IF(OR(M66="-",M66="N/A"),"",COUNTA(M$5:M66)-(COUNTIF((M$5:M66),"-")+COUNTIF((M$5:M66),"N/A"))+COUNTIF((M$5:M66),""))</f>
        <v/>
      </c>
      <c r="C66" s="284" t="str">
        <f t="shared" si="5"/>
        <v/>
      </c>
      <c r="D66" s="290">
        <v>7</v>
      </c>
      <c r="E66" s="290"/>
      <c r="F66" s="290"/>
      <c r="G66" s="290"/>
      <c r="H66" s="292" t="s">
        <v>38</v>
      </c>
      <c r="I66" s="305"/>
      <c r="J66" s="271"/>
      <c r="K66" s="170"/>
      <c r="L66" s="332" t="s">
        <v>43</v>
      </c>
      <c r="M66" s="170" t="s">
        <v>43</v>
      </c>
      <c r="N66" s="266"/>
      <c r="O66" s="170"/>
      <c r="P66" s="332" t="s">
        <v>43</v>
      </c>
      <c r="Q66" s="170" t="s">
        <v>43</v>
      </c>
      <c r="R66" s="170"/>
      <c r="S66" s="170"/>
      <c r="T66" s="325" t="s">
        <v>43</v>
      </c>
      <c r="U66" s="276" t="s">
        <v>43</v>
      </c>
      <c r="V66" s="276"/>
      <c r="W66" s="170"/>
      <c r="X66" s="332" t="s">
        <v>43</v>
      </c>
      <c r="Y66" s="170" t="s">
        <v>43</v>
      </c>
      <c r="Z66" s="170"/>
      <c r="AA66" s="170"/>
      <c r="AB66" s="332" t="s">
        <v>43</v>
      </c>
      <c r="AC66" s="170" t="s">
        <v>43</v>
      </c>
      <c r="AD66" s="266"/>
      <c r="AE66" s="170"/>
      <c r="AF66" s="332"/>
      <c r="AG66" s="170" t="s">
        <v>43</v>
      </c>
      <c r="AH66" s="266"/>
      <c r="AI66" s="170"/>
      <c r="AJ66" s="332"/>
      <c r="AK66" s="170" t="s">
        <v>43</v>
      </c>
      <c r="AL66" s="266"/>
      <c r="AM66" s="170"/>
    </row>
    <row r="67" spans="2:39" ht="30" customHeight="1">
      <c r="B67" s="283">
        <f>B65+1</f>
        <v>56</v>
      </c>
      <c r="C67" s="284" t="str">
        <f t="shared" si="5"/>
        <v>TC-EIF-MSG-56</v>
      </c>
      <c r="D67" s="286">
        <v>7</v>
      </c>
      <c r="E67" s="286">
        <v>19</v>
      </c>
      <c r="F67" s="289" t="s">
        <v>172</v>
      </c>
      <c r="G67" s="286" t="s">
        <v>13</v>
      </c>
      <c r="H67" s="268" t="s">
        <v>175</v>
      </c>
      <c r="I67" s="286" t="s">
        <v>131</v>
      </c>
      <c r="J67" s="302"/>
      <c r="K67" s="169"/>
      <c r="L67" s="324"/>
      <c r="M67" s="169" t="s">
        <v>34</v>
      </c>
      <c r="N67" s="209"/>
      <c r="O67" s="169"/>
      <c r="P67" s="324"/>
      <c r="Q67" s="169" t="s">
        <v>34</v>
      </c>
      <c r="R67" s="209"/>
      <c r="S67" s="169"/>
      <c r="T67" s="324"/>
      <c r="U67" s="169" t="s">
        <v>34</v>
      </c>
      <c r="V67" s="209"/>
      <c r="W67" s="169"/>
      <c r="X67" s="324"/>
      <c r="Y67" s="169" t="s">
        <v>34</v>
      </c>
      <c r="Z67" s="209"/>
      <c r="AA67" s="169"/>
      <c r="AB67" s="324"/>
      <c r="AC67" s="169" t="s">
        <v>34</v>
      </c>
      <c r="AD67" s="209"/>
      <c r="AE67" s="169"/>
      <c r="AF67" s="324"/>
      <c r="AG67" s="169" t="s">
        <v>34</v>
      </c>
      <c r="AH67" s="209"/>
      <c r="AI67" s="169"/>
      <c r="AJ67" s="324"/>
      <c r="AK67" s="169" t="s">
        <v>34</v>
      </c>
      <c r="AL67" s="209"/>
      <c r="AM67" s="169"/>
    </row>
    <row r="68" spans="2:39" ht="30" customHeight="1">
      <c r="B68" s="283">
        <f t="shared" ref="B68" si="10">B67+1</f>
        <v>57</v>
      </c>
      <c r="C68" s="284" t="str">
        <f t="shared" si="5"/>
        <v>TC-EIF-MSG-57</v>
      </c>
      <c r="D68" s="286">
        <v>7</v>
      </c>
      <c r="E68" s="286">
        <v>20</v>
      </c>
      <c r="F68" s="289" t="s">
        <v>173</v>
      </c>
      <c r="G68" s="286" t="s">
        <v>13</v>
      </c>
      <c r="H68" s="268" t="s">
        <v>39</v>
      </c>
      <c r="I68" s="286" t="s">
        <v>131</v>
      </c>
      <c r="J68" s="302"/>
      <c r="K68" s="169"/>
      <c r="L68" s="324"/>
      <c r="M68" s="169" t="s">
        <v>34</v>
      </c>
      <c r="N68" s="209"/>
      <c r="O68" s="169"/>
      <c r="P68" s="324"/>
      <c r="Q68" s="169" t="s">
        <v>34</v>
      </c>
      <c r="R68" s="209"/>
      <c r="S68" s="169"/>
      <c r="T68" s="324"/>
      <c r="U68" s="169" t="s">
        <v>34</v>
      </c>
      <c r="V68" s="209"/>
      <c r="W68" s="169"/>
      <c r="X68" s="324"/>
      <c r="Y68" s="169" t="s">
        <v>34</v>
      </c>
      <c r="Z68" s="209"/>
      <c r="AA68" s="169"/>
      <c r="AB68" s="324"/>
      <c r="AC68" s="169" t="s">
        <v>34</v>
      </c>
      <c r="AD68" s="209"/>
      <c r="AE68" s="169"/>
      <c r="AF68" s="324"/>
      <c r="AG68" s="169" t="s">
        <v>34</v>
      </c>
      <c r="AH68" s="209"/>
      <c r="AI68" s="169"/>
      <c r="AJ68" s="324"/>
      <c r="AK68" s="169" t="s">
        <v>34</v>
      </c>
      <c r="AL68" s="209"/>
      <c r="AM68" s="169"/>
    </row>
    <row r="69" spans="2:39" s="264" customFormat="1" ht="30" customHeight="1">
      <c r="B69" s="283" t="str">
        <f>IF(OR(M69="-",M69="N/A"),"",COUNTA(M$5:M69)-(COUNTIF((M$5:M69),"-")+COUNTIF((M$5:M69),"N/A"))+COUNTIF((M$5:M69),""))</f>
        <v/>
      </c>
      <c r="C69" s="284" t="str">
        <f t="shared" si="5"/>
        <v/>
      </c>
      <c r="D69" s="290">
        <v>9</v>
      </c>
      <c r="E69" s="290"/>
      <c r="F69" s="290"/>
      <c r="G69" s="290"/>
      <c r="H69" s="292" t="s">
        <v>40</v>
      </c>
      <c r="I69" s="305"/>
      <c r="J69" s="271"/>
      <c r="K69" s="170"/>
      <c r="L69" s="332" t="s">
        <v>43</v>
      </c>
      <c r="M69" s="170" t="s">
        <v>43</v>
      </c>
      <c r="N69" s="266"/>
      <c r="O69" s="170"/>
      <c r="P69" s="332" t="s">
        <v>43</v>
      </c>
      <c r="Q69" s="170" t="s">
        <v>43</v>
      </c>
      <c r="R69" s="170"/>
      <c r="S69" s="170"/>
      <c r="T69" s="325" t="s">
        <v>43</v>
      </c>
      <c r="U69" s="276" t="s">
        <v>43</v>
      </c>
      <c r="V69" s="276"/>
      <c r="W69" s="170"/>
      <c r="X69" s="332" t="s">
        <v>43</v>
      </c>
      <c r="Y69" s="170" t="s">
        <v>43</v>
      </c>
      <c r="Z69" s="170"/>
      <c r="AA69" s="170"/>
      <c r="AB69" s="332" t="s">
        <v>43</v>
      </c>
      <c r="AC69" s="170" t="s">
        <v>43</v>
      </c>
      <c r="AD69" s="266"/>
      <c r="AE69" s="170"/>
      <c r="AF69" s="332"/>
      <c r="AG69" s="170" t="s">
        <v>43</v>
      </c>
      <c r="AH69" s="266"/>
      <c r="AI69" s="170"/>
      <c r="AJ69" s="332"/>
      <c r="AK69" s="170" t="s">
        <v>43</v>
      </c>
      <c r="AL69" s="266"/>
      <c r="AM69" s="170"/>
    </row>
    <row r="70" spans="2:39" ht="30" customHeight="1">
      <c r="B70" s="283">
        <f>B68+1</f>
        <v>58</v>
      </c>
      <c r="C70" s="284" t="str">
        <f t="shared" si="5"/>
        <v>TC-EIF-MSG-58</v>
      </c>
      <c r="D70" s="286">
        <v>9</v>
      </c>
      <c r="E70" s="286">
        <v>3</v>
      </c>
      <c r="F70" s="289" t="s">
        <v>173</v>
      </c>
      <c r="G70" s="286" t="s">
        <v>142</v>
      </c>
      <c r="H70" s="268" t="s">
        <v>226</v>
      </c>
      <c r="I70" s="286" t="s">
        <v>131</v>
      </c>
      <c r="J70" s="272"/>
      <c r="K70" s="169"/>
      <c r="L70" s="324"/>
      <c r="M70" s="169" t="s">
        <v>34</v>
      </c>
      <c r="N70" s="209"/>
      <c r="O70" s="169"/>
      <c r="P70" s="324"/>
      <c r="Q70" s="169" t="s">
        <v>34</v>
      </c>
      <c r="R70" s="209"/>
      <c r="S70" s="169"/>
      <c r="T70" s="324"/>
      <c r="U70" s="169" t="s">
        <v>34</v>
      </c>
      <c r="V70" s="209"/>
      <c r="W70" s="169"/>
      <c r="X70" s="324"/>
      <c r="Y70" s="169" t="s">
        <v>34</v>
      </c>
      <c r="Z70" s="209"/>
      <c r="AA70" s="169"/>
      <c r="AB70" s="324"/>
      <c r="AC70" s="169" t="s">
        <v>34</v>
      </c>
      <c r="AD70" s="209"/>
      <c r="AE70" s="169"/>
      <c r="AF70" s="324"/>
      <c r="AG70" s="169" t="s">
        <v>34</v>
      </c>
      <c r="AH70" s="209"/>
      <c r="AI70" s="169"/>
      <c r="AJ70" s="324"/>
      <c r="AK70" s="169" t="s">
        <v>34</v>
      </c>
      <c r="AL70" s="209"/>
      <c r="AM70" s="169"/>
    </row>
    <row r="71" spans="2:39" ht="30" customHeight="1">
      <c r="B71" s="283">
        <f>B70+1</f>
        <v>59</v>
      </c>
      <c r="C71" s="284" t="str">
        <f t="shared" si="5"/>
        <v>TC-EIF-MSG-59</v>
      </c>
      <c r="D71" s="286">
        <v>9</v>
      </c>
      <c r="E71" s="286">
        <v>5</v>
      </c>
      <c r="F71" s="289" t="s">
        <v>173</v>
      </c>
      <c r="G71" s="286" t="s">
        <v>142</v>
      </c>
      <c r="H71" s="268" t="s">
        <v>227</v>
      </c>
      <c r="I71" s="286" t="s">
        <v>131</v>
      </c>
      <c r="J71" s="272"/>
      <c r="K71" s="169"/>
      <c r="L71" s="324"/>
      <c r="M71" s="169" t="s">
        <v>34</v>
      </c>
      <c r="N71" s="209"/>
      <c r="O71" s="169"/>
      <c r="P71" s="324"/>
      <c r="Q71" s="169" t="s">
        <v>34</v>
      </c>
      <c r="R71" s="209"/>
      <c r="S71" s="169"/>
      <c r="T71" s="324"/>
      <c r="U71" s="169" t="s">
        <v>34</v>
      </c>
      <c r="V71" s="209"/>
      <c r="W71" s="169"/>
      <c r="X71" s="324"/>
      <c r="Y71" s="169" t="s">
        <v>34</v>
      </c>
      <c r="Z71" s="209"/>
      <c r="AA71" s="169"/>
      <c r="AB71" s="324"/>
      <c r="AC71" s="169" t="s">
        <v>34</v>
      </c>
      <c r="AD71" s="209"/>
      <c r="AE71" s="169"/>
      <c r="AF71" s="324"/>
      <c r="AG71" s="169" t="s">
        <v>34</v>
      </c>
      <c r="AH71" s="209"/>
      <c r="AI71" s="169"/>
      <c r="AJ71" s="324"/>
      <c r="AK71" s="169" t="s">
        <v>34</v>
      </c>
      <c r="AL71" s="209"/>
      <c r="AM71" s="169"/>
    </row>
    <row r="72" spans="2:39" ht="30" customHeight="1">
      <c r="B72" s="283">
        <f>B71+1</f>
        <v>60</v>
      </c>
      <c r="C72" s="284" t="str">
        <f t="shared" si="5"/>
        <v>TC-EIF-MSG-60</v>
      </c>
      <c r="D72" s="286">
        <v>9</v>
      </c>
      <c r="E72" s="286">
        <v>9</v>
      </c>
      <c r="F72" s="289" t="s">
        <v>173</v>
      </c>
      <c r="G72" s="286" t="s">
        <v>142</v>
      </c>
      <c r="H72" s="268" t="s">
        <v>228</v>
      </c>
      <c r="I72" s="286" t="s">
        <v>131</v>
      </c>
      <c r="J72" s="272"/>
      <c r="K72" s="169"/>
      <c r="L72" s="324"/>
      <c r="M72" s="169" t="s">
        <v>34</v>
      </c>
      <c r="N72" s="209"/>
      <c r="O72" s="169"/>
      <c r="P72" s="324"/>
      <c r="Q72" s="169" t="s">
        <v>34</v>
      </c>
      <c r="R72" s="209"/>
      <c r="S72" s="169"/>
      <c r="T72" s="324"/>
      <c r="U72" s="169" t="s">
        <v>34</v>
      </c>
      <c r="V72" s="209"/>
      <c r="W72" s="169"/>
      <c r="X72" s="324"/>
      <c r="Y72" s="169" t="s">
        <v>34</v>
      </c>
      <c r="Z72" s="209"/>
      <c r="AA72" s="169"/>
      <c r="AB72" s="324"/>
      <c r="AC72" s="169" t="s">
        <v>34</v>
      </c>
      <c r="AD72" s="209"/>
      <c r="AE72" s="169"/>
      <c r="AF72" s="324"/>
      <c r="AG72" s="169" t="s">
        <v>34</v>
      </c>
      <c r="AH72" s="209"/>
      <c r="AI72" s="169"/>
      <c r="AJ72" s="324"/>
      <c r="AK72" s="169" t="s">
        <v>34</v>
      </c>
      <c r="AL72" s="209"/>
      <c r="AM72" s="169"/>
    </row>
    <row r="73" spans="2:39" ht="30" customHeight="1">
      <c r="B73" s="283">
        <f>B72+1</f>
        <v>61</v>
      </c>
      <c r="C73" s="284" t="str">
        <f t="shared" si="5"/>
        <v>TC-EIF-MSG-61</v>
      </c>
      <c r="D73" s="286">
        <v>9</v>
      </c>
      <c r="E73" s="286">
        <v>13</v>
      </c>
      <c r="F73" s="289" t="s">
        <v>173</v>
      </c>
      <c r="G73" s="286" t="s">
        <v>142</v>
      </c>
      <c r="H73" s="268" t="s">
        <v>228</v>
      </c>
      <c r="I73" s="286" t="s">
        <v>131</v>
      </c>
      <c r="J73" s="272"/>
      <c r="K73" s="169"/>
      <c r="L73" s="324"/>
      <c r="M73" s="169" t="s">
        <v>34</v>
      </c>
      <c r="N73" s="209"/>
      <c r="O73" s="169"/>
      <c r="P73" s="324"/>
      <c r="Q73" s="169" t="s">
        <v>34</v>
      </c>
      <c r="R73" s="209"/>
      <c r="S73" s="169"/>
      <c r="T73" s="324"/>
      <c r="U73" s="169" t="s">
        <v>34</v>
      </c>
      <c r="V73" s="209"/>
      <c r="W73" s="169"/>
      <c r="X73" s="324"/>
      <c r="Y73" s="169" t="s">
        <v>34</v>
      </c>
      <c r="Z73" s="209"/>
      <c r="AA73" s="169"/>
      <c r="AB73" s="324"/>
      <c r="AC73" s="169" t="s">
        <v>34</v>
      </c>
      <c r="AD73" s="209"/>
      <c r="AE73" s="169"/>
      <c r="AF73" s="324"/>
      <c r="AG73" s="169" t="s">
        <v>34</v>
      </c>
      <c r="AH73" s="209"/>
      <c r="AI73" s="169"/>
      <c r="AJ73" s="324"/>
      <c r="AK73" s="169" t="s">
        <v>34</v>
      </c>
      <c r="AL73" s="209"/>
      <c r="AM73" s="169"/>
    </row>
    <row r="74" spans="2:39" s="264" customFormat="1" ht="30" customHeight="1">
      <c r="B74" s="283" t="str">
        <f>IF(OR(M74="-",M74="N/A"),"",COUNTA(M$5:M74)-(COUNTIF((M$5:M74),"-")+COUNTIF((M$5:M74),"N/A"))+COUNTIF((M$5:M74),""))</f>
        <v/>
      </c>
      <c r="C74" s="284" t="str">
        <f t="shared" ref="C74:C78" si="11">IF($B74="","",CONCATENATE("TC-EIF-MSG-",$B74))</f>
        <v/>
      </c>
      <c r="D74" s="290">
        <v>10</v>
      </c>
      <c r="E74" s="290"/>
      <c r="F74" s="290"/>
      <c r="G74" s="290"/>
      <c r="H74" s="292" t="s">
        <v>41</v>
      </c>
      <c r="I74" s="305"/>
      <c r="J74" s="271"/>
      <c r="K74" s="170"/>
      <c r="L74" s="332" t="s">
        <v>43</v>
      </c>
      <c r="M74" s="170" t="s">
        <v>43</v>
      </c>
      <c r="N74" s="208"/>
      <c r="O74" s="170"/>
      <c r="P74" s="332" t="s">
        <v>43</v>
      </c>
      <c r="Q74" s="170" t="s">
        <v>43</v>
      </c>
      <c r="R74" s="208"/>
      <c r="S74" s="170"/>
      <c r="T74" s="325" t="s">
        <v>43</v>
      </c>
      <c r="U74" s="276" t="s">
        <v>43</v>
      </c>
      <c r="V74" s="280"/>
      <c r="W74" s="170"/>
      <c r="X74" s="332" t="s">
        <v>43</v>
      </c>
      <c r="Y74" s="170" t="s">
        <v>43</v>
      </c>
      <c r="Z74" s="208"/>
      <c r="AA74" s="170"/>
      <c r="AB74" s="332" t="s">
        <v>43</v>
      </c>
      <c r="AC74" s="170" t="s">
        <v>43</v>
      </c>
      <c r="AD74" s="208"/>
      <c r="AE74" s="170"/>
      <c r="AF74" s="332"/>
      <c r="AG74" s="170" t="s">
        <v>43</v>
      </c>
      <c r="AH74" s="266"/>
      <c r="AI74" s="170"/>
      <c r="AJ74" s="332"/>
      <c r="AK74" s="170" t="s">
        <v>43</v>
      </c>
      <c r="AL74" s="266"/>
      <c r="AM74" s="170"/>
    </row>
    <row r="75" spans="2:39" ht="30" customHeight="1">
      <c r="B75" s="283">
        <f>B73+1</f>
        <v>62</v>
      </c>
      <c r="C75" s="284" t="str">
        <f t="shared" si="11"/>
        <v>TC-EIF-MSG-62</v>
      </c>
      <c r="D75" s="286">
        <v>10</v>
      </c>
      <c r="E75" s="286">
        <v>1</v>
      </c>
      <c r="F75" s="288" t="s">
        <v>173</v>
      </c>
      <c r="G75" s="286" t="s">
        <v>142</v>
      </c>
      <c r="H75" s="268" t="s">
        <v>229</v>
      </c>
      <c r="I75" s="286" t="s">
        <v>131</v>
      </c>
      <c r="J75" s="272"/>
      <c r="K75" s="169"/>
      <c r="L75" s="324"/>
      <c r="M75" s="169" t="s">
        <v>34</v>
      </c>
      <c r="N75" s="209"/>
      <c r="O75" s="169"/>
      <c r="P75" s="324"/>
      <c r="Q75" s="169" t="s">
        <v>34</v>
      </c>
      <c r="R75" s="209"/>
      <c r="S75" s="169"/>
      <c r="T75" s="327"/>
      <c r="U75" s="169" t="s">
        <v>34</v>
      </c>
      <c r="V75" s="282"/>
      <c r="W75" s="169"/>
      <c r="X75" s="324"/>
      <c r="Y75" s="169" t="s">
        <v>34</v>
      </c>
      <c r="Z75" s="209"/>
      <c r="AA75" s="169"/>
      <c r="AB75" s="324"/>
      <c r="AC75" s="169" t="s">
        <v>34</v>
      </c>
      <c r="AD75" s="209"/>
      <c r="AE75" s="169"/>
      <c r="AF75" s="324"/>
      <c r="AG75" s="169" t="s">
        <v>34</v>
      </c>
      <c r="AH75" s="212"/>
      <c r="AI75" s="335"/>
      <c r="AJ75" s="324"/>
      <c r="AK75" s="169" t="s">
        <v>34</v>
      </c>
      <c r="AL75" s="169"/>
      <c r="AM75" s="169"/>
    </row>
    <row r="76" spans="2:39" ht="30" customHeight="1">
      <c r="B76" s="283">
        <f>B75+1</f>
        <v>63</v>
      </c>
      <c r="C76" s="284" t="str">
        <f t="shared" si="11"/>
        <v>TC-EIF-MSG-63</v>
      </c>
      <c r="D76" s="286">
        <v>10</v>
      </c>
      <c r="E76" s="286">
        <v>2</v>
      </c>
      <c r="F76" s="288" t="s">
        <v>172</v>
      </c>
      <c r="G76" s="286" t="s">
        <v>142</v>
      </c>
      <c r="H76" s="268" t="s">
        <v>230</v>
      </c>
      <c r="I76" s="286" t="s">
        <v>131</v>
      </c>
      <c r="J76" s="272"/>
      <c r="K76" s="169"/>
      <c r="L76" s="324"/>
      <c r="M76" s="169" t="s">
        <v>34</v>
      </c>
      <c r="N76" s="209"/>
      <c r="O76" s="169"/>
      <c r="P76" s="324"/>
      <c r="Q76" s="169" t="s">
        <v>34</v>
      </c>
      <c r="R76" s="209"/>
      <c r="S76" s="169"/>
      <c r="T76" s="327"/>
      <c r="U76" s="169" t="s">
        <v>34</v>
      </c>
      <c r="V76" s="282"/>
      <c r="W76" s="169"/>
      <c r="X76" s="324"/>
      <c r="Y76" s="169" t="s">
        <v>34</v>
      </c>
      <c r="Z76" s="209"/>
      <c r="AA76" s="169"/>
      <c r="AB76" s="324"/>
      <c r="AC76" s="169" t="s">
        <v>34</v>
      </c>
      <c r="AD76" s="209"/>
      <c r="AE76" s="169"/>
      <c r="AF76" s="324"/>
      <c r="AG76" s="169" t="s">
        <v>34</v>
      </c>
      <c r="AH76" s="212"/>
      <c r="AI76" s="335"/>
      <c r="AJ76" s="324"/>
      <c r="AK76" s="169" t="s">
        <v>34</v>
      </c>
      <c r="AL76" s="169"/>
      <c r="AM76" s="169"/>
    </row>
    <row r="77" spans="2:39" ht="30" customHeight="1">
      <c r="B77" s="283">
        <f t="shared" ref="B77:B78" si="12">B76+1</f>
        <v>64</v>
      </c>
      <c r="C77" s="284" t="str">
        <f t="shared" si="11"/>
        <v>TC-EIF-MSG-64</v>
      </c>
      <c r="D77" s="286">
        <v>10</v>
      </c>
      <c r="E77" s="286">
        <v>3</v>
      </c>
      <c r="F77" s="288" t="s">
        <v>172</v>
      </c>
      <c r="G77" s="286" t="s">
        <v>142</v>
      </c>
      <c r="H77" s="268" t="s">
        <v>231</v>
      </c>
      <c r="I77" s="286" t="s">
        <v>131</v>
      </c>
      <c r="J77" s="272"/>
      <c r="K77" s="169"/>
      <c r="L77" s="324"/>
      <c r="M77" s="169" t="s">
        <v>34</v>
      </c>
      <c r="N77" s="209"/>
      <c r="O77" s="169"/>
      <c r="P77" s="324"/>
      <c r="Q77" s="169" t="s">
        <v>34</v>
      </c>
      <c r="R77" s="209"/>
      <c r="S77" s="169"/>
      <c r="T77" s="327"/>
      <c r="U77" s="169" t="s">
        <v>34</v>
      </c>
      <c r="V77" s="282"/>
      <c r="W77" s="169"/>
      <c r="X77" s="324"/>
      <c r="Y77" s="169" t="s">
        <v>34</v>
      </c>
      <c r="Z77" s="209"/>
      <c r="AA77" s="169"/>
      <c r="AB77" s="324"/>
      <c r="AC77" s="169" t="s">
        <v>34</v>
      </c>
      <c r="AD77" s="209"/>
      <c r="AE77" s="169"/>
      <c r="AF77" s="324"/>
      <c r="AG77" s="169" t="s">
        <v>34</v>
      </c>
      <c r="AH77" s="212"/>
      <c r="AI77" s="335"/>
      <c r="AJ77" s="324"/>
      <c r="AK77" s="169" t="s">
        <v>34</v>
      </c>
      <c r="AL77" s="169"/>
      <c r="AM77" s="169"/>
    </row>
    <row r="78" spans="2:39" ht="30" customHeight="1">
      <c r="B78" s="283">
        <f t="shared" si="12"/>
        <v>65</v>
      </c>
      <c r="C78" s="284" t="str">
        <f t="shared" si="11"/>
        <v>TC-EIF-MSG-65</v>
      </c>
      <c r="D78" s="286">
        <v>10</v>
      </c>
      <c r="E78" s="286">
        <v>4</v>
      </c>
      <c r="F78" s="288" t="s">
        <v>173</v>
      </c>
      <c r="G78" s="286" t="s">
        <v>142</v>
      </c>
      <c r="H78" s="268" t="s">
        <v>232</v>
      </c>
      <c r="I78" s="286" t="s">
        <v>131</v>
      </c>
      <c r="J78" s="272"/>
      <c r="K78" s="169"/>
      <c r="L78" s="324"/>
      <c r="M78" s="169" t="s">
        <v>34</v>
      </c>
      <c r="N78" s="209"/>
      <c r="O78" s="169"/>
      <c r="P78" s="324"/>
      <c r="Q78" s="169" t="s">
        <v>34</v>
      </c>
      <c r="R78" s="209"/>
      <c r="S78" s="169"/>
      <c r="T78" s="327"/>
      <c r="U78" s="169" t="s">
        <v>34</v>
      </c>
      <c r="V78" s="282"/>
      <c r="W78" s="169"/>
      <c r="X78" s="324"/>
      <c r="Y78" s="169" t="s">
        <v>34</v>
      </c>
      <c r="Z78" s="209"/>
      <c r="AA78" s="169"/>
      <c r="AB78" s="324"/>
      <c r="AC78" s="169" t="s">
        <v>34</v>
      </c>
      <c r="AD78" s="209"/>
      <c r="AE78" s="169"/>
      <c r="AF78" s="324"/>
      <c r="AG78" s="169" t="s">
        <v>34</v>
      </c>
      <c r="AH78" s="212"/>
      <c r="AI78" s="335"/>
      <c r="AJ78" s="324"/>
      <c r="AK78" s="169" t="s">
        <v>34</v>
      </c>
      <c r="AL78" s="169"/>
      <c r="AM78" s="169"/>
    </row>
  </sheetData>
  <autoFilter ref="A4:AN4" xr:uid="{00000000-0009-0000-0000-000003000000}"/>
  <mergeCells count="17">
    <mergeCell ref="AB3:AE3"/>
    <mergeCell ref="AF3:AI3"/>
    <mergeCell ref="AJ3:AM3"/>
    <mergeCell ref="J3:J4"/>
    <mergeCell ref="I3:I4"/>
    <mergeCell ref="K3:K4"/>
    <mergeCell ref="L3:O3"/>
    <mergeCell ref="P3:S3"/>
    <mergeCell ref="T3:W3"/>
    <mergeCell ref="X3:AA3"/>
    <mergeCell ref="G3:G4"/>
    <mergeCell ref="B3:B4"/>
    <mergeCell ref="D3:D4"/>
    <mergeCell ref="E3:E4"/>
    <mergeCell ref="H3:H4"/>
    <mergeCell ref="F3:F4"/>
    <mergeCell ref="C3:C4"/>
  </mergeCells>
  <phoneticPr fontId="1" type="noConversion"/>
  <conditionalFormatting sqref="D7:E10 D75:E78">
    <cfRule type="expression" dxfId="739" priority="27765">
      <formula>#REF!="N/A"</formula>
    </cfRule>
  </conditionalFormatting>
  <conditionalFormatting sqref="G5:J5">
    <cfRule type="expression" dxfId="738" priority="20536">
      <formula>#REF!="N/A"</formula>
    </cfRule>
  </conditionalFormatting>
  <conditionalFormatting sqref="G7:J10 G75:J78">
    <cfRule type="expression" dxfId="737" priority="20538">
      <formula>#REF!="N/A"</formula>
    </cfRule>
  </conditionalFormatting>
  <conditionalFormatting sqref="G67:J68 AJ12:AJ17 AJ24:AJ30 T48:T65 AB65 AF65 AJ65 D5:E5 D12:E30 G12:J30 AH18:AH19 AL18:AL19 R18:R24 V18:V24 R26:R30 V26:V30 Z26:Z30 AH28:AH30 D32:E35 G32:J35 N32:N35 R32:R35 V32:V35 Z32:Z35 AD32:AD35 AH32:AH35 AL32:AL35 D37:E65 G37:J65 N39:N65 R39:R65 V39:V65 Z39:Z65 AD39:AD65 AH65 AL65 D67:E68 N67:N68 R67:R68 V67:V68 Z67:Z68 AD67:AD68 AH67:AH68 AL67:AL68 D70:E73 G70:J73 N70:N73 R70:R73 V70:V73 Z70:Z73 AD70:AD73 AH70:AH73 AL70:AL73">
    <cfRule type="expression" dxfId="736" priority="24651">
      <formula>#REF!="N/A"</formula>
    </cfRule>
  </conditionalFormatting>
  <conditionalFormatting sqref="J67:J68">
    <cfRule type="cellIs" dxfId="735" priority="15746" operator="equal">
      <formula>"NG"</formula>
    </cfRule>
    <cfRule type="cellIs" dxfId="734" priority="15748" operator="equal">
      <formula>"OK"</formula>
    </cfRule>
    <cfRule type="cellIs" dxfId="733" priority="15747" operator="equal">
      <formula>"N/A"</formula>
    </cfRule>
    <cfRule type="cellIs" dxfId="732" priority="15745" operator="equal">
      <formula>"Skip"</formula>
    </cfRule>
  </conditionalFormatting>
  <conditionalFormatting sqref="L5 L12:L30 P12:P30 T12:T30 X12:X30 AB12:AB30 AF12:AF30 L32:L35 P32:P35 T32:T35 X32:X35 AB32:AB35 AF32:AF35 AJ32:AJ35 L67:L68 P67:P68 T67:T68 X67:X68 AB67:AB68 AF67:AF68 AJ67:AJ68 L70:L73 P70:P73 T70:T73 X70:X73 AB70:AB73 AF70:AF73 AJ70:AJ73">
    <cfRule type="cellIs" dxfId="731" priority="8124" operator="equal">
      <formula>"N/A"</formula>
    </cfRule>
    <cfRule type="cellIs" dxfId="730" priority="8125" operator="equal">
      <formula>"OK"</formula>
    </cfRule>
    <cfRule type="expression" dxfId="729" priority="8126">
      <formula>#REF!="N/A"</formula>
    </cfRule>
  </conditionalFormatting>
  <conditionalFormatting sqref="L7:L10">
    <cfRule type="cellIs" dxfId="728" priority="8107" operator="equal">
      <formula>"OK"</formula>
    </cfRule>
    <cfRule type="cellIs" dxfId="727" priority="8106" operator="equal">
      <formula>"N/A"</formula>
    </cfRule>
    <cfRule type="expression" dxfId="726" priority="8108">
      <formula>#REF!="N/A"</formula>
    </cfRule>
  </conditionalFormatting>
  <conditionalFormatting sqref="L37:L65">
    <cfRule type="expression" dxfId="725" priority="7847">
      <formula>#REF!="N/A"</formula>
    </cfRule>
  </conditionalFormatting>
  <conditionalFormatting sqref="L69">
    <cfRule type="cellIs" dxfId="724" priority="8735" operator="equal">
      <formula>"OK"</formula>
    </cfRule>
  </conditionalFormatting>
  <conditionalFormatting sqref="L75:L76">
    <cfRule type="expression" dxfId="723" priority="7914">
      <formula>#REF!="N/A"</formula>
    </cfRule>
    <cfRule type="cellIs" dxfId="722" priority="7910" operator="equal">
      <formula>"Skip"</formula>
    </cfRule>
    <cfRule type="cellIs" dxfId="721" priority="7911" operator="equal">
      <formula>"NG"</formula>
    </cfRule>
  </conditionalFormatting>
  <conditionalFormatting sqref="L75:L78">
    <cfRule type="cellIs" dxfId="720" priority="7913" operator="equal">
      <formula>"OK"</formula>
    </cfRule>
    <cfRule type="cellIs" dxfId="719" priority="7912" operator="equal">
      <formula>"N/A"</formula>
    </cfRule>
  </conditionalFormatting>
  <conditionalFormatting sqref="L77:L78">
    <cfRule type="expression" dxfId="718" priority="7923">
      <formula>#REF!="N/A"</formula>
    </cfRule>
  </conditionalFormatting>
  <conditionalFormatting sqref="L5:M30">
    <cfRule type="cellIs" dxfId="717" priority="98" operator="equal">
      <formula>"NG"</formula>
    </cfRule>
    <cfRule type="cellIs" dxfId="716" priority="99" operator="equal">
      <formula>"Skip"</formula>
    </cfRule>
  </conditionalFormatting>
  <conditionalFormatting sqref="L6:M6 AK12:AK30 M32:M35 Q32:Q35 U32:U35 AC32:AC35 AK32:AK35 Q67:Q68 U67:U68 Y67:Y68 AC67:AC68 AG67:AG68 AK67:AK68 M70:M73 Q70:Q73 U70:U73 Y70:Y73 AC70:AC73 AG70:AG73 AK70:AK73">
    <cfRule type="cellIs" dxfId="715" priority="8578" operator="equal">
      <formula>"OK"</formula>
    </cfRule>
    <cfRule type="cellIs" dxfId="714" priority="8577" operator="equal">
      <formula>"N/A"</formula>
    </cfRule>
  </conditionalFormatting>
  <conditionalFormatting sqref="L11:M11">
    <cfRule type="cellIs" dxfId="713" priority="8730" operator="equal">
      <formula>"N/A"</formula>
    </cfRule>
    <cfRule type="cellIs" dxfId="712" priority="8731" operator="equal">
      <formula>"OK"</formula>
    </cfRule>
  </conditionalFormatting>
  <conditionalFormatting sqref="L74:M74">
    <cfRule type="cellIs" dxfId="711" priority="8715" operator="equal">
      <formula>"OK"</formula>
    </cfRule>
    <cfRule type="cellIs" dxfId="710" priority="8714" operator="equal">
      <formula>"N/A"</formula>
    </cfRule>
  </conditionalFormatting>
  <conditionalFormatting sqref="L77:M78">
    <cfRule type="cellIs" dxfId="709" priority="7915" operator="equal">
      <formula>"Skip"</formula>
    </cfRule>
    <cfRule type="cellIs" dxfId="708" priority="7916" operator="equal">
      <formula>"NG"</formula>
    </cfRule>
  </conditionalFormatting>
  <conditionalFormatting sqref="L31:N31">
    <cfRule type="cellIs" dxfId="707" priority="8727" operator="equal">
      <formula>"OK"</formula>
    </cfRule>
    <cfRule type="cellIs" dxfId="706" priority="8724" operator="equal">
      <formula>"Skip"</formula>
    </cfRule>
    <cfRule type="cellIs" dxfId="705" priority="8725" operator="equal">
      <formula>"NG"</formula>
    </cfRule>
    <cfRule type="cellIs" dxfId="704" priority="8726" operator="equal">
      <formula>"N/A"</formula>
    </cfRule>
  </conditionalFormatting>
  <conditionalFormatting sqref="L36:N36">
    <cfRule type="cellIs" dxfId="703" priority="8723" operator="equal">
      <formula>"OK"</formula>
    </cfRule>
    <cfRule type="cellIs" dxfId="702" priority="8722" operator="equal">
      <formula>"N/A"</formula>
    </cfRule>
    <cfRule type="cellIs" dxfId="701" priority="8721" operator="equal">
      <formula>"NG"</formula>
    </cfRule>
    <cfRule type="cellIs" dxfId="700" priority="8720" operator="equal">
      <formula>"Skip"</formula>
    </cfRule>
  </conditionalFormatting>
  <conditionalFormatting sqref="L66:N66">
    <cfRule type="cellIs" dxfId="699" priority="8719" operator="equal">
      <formula>"OK"</formula>
    </cfRule>
    <cfRule type="cellIs" dxfId="698" priority="8716" operator="equal">
      <formula>"Skip"</formula>
    </cfRule>
    <cfRule type="cellIs" dxfId="697" priority="8717" operator="equal">
      <formula>"NG"</formula>
    </cfRule>
    <cfRule type="cellIs" dxfId="696" priority="8718" operator="equal">
      <formula>"N/A"</formula>
    </cfRule>
  </conditionalFormatting>
  <conditionalFormatting sqref="L69:N69">
    <cfRule type="cellIs" dxfId="695" priority="8732" operator="equal">
      <formula>"Skip"</formula>
    </cfRule>
    <cfRule type="cellIs" dxfId="694" priority="8734" operator="equal">
      <formula>"N/A"</formula>
    </cfRule>
    <cfRule type="cellIs" dxfId="693" priority="8733" operator="equal">
      <formula>"NG"</formula>
    </cfRule>
  </conditionalFormatting>
  <conditionalFormatting sqref="M5">
    <cfRule type="cellIs" dxfId="692" priority="8130" operator="equal">
      <formula>"OK"</formula>
    </cfRule>
    <cfRule type="cellIs" dxfId="691" priority="8129" operator="equal">
      <formula>"N/A"</formula>
    </cfRule>
  </conditionalFormatting>
  <conditionalFormatting sqref="M7:M10 AG32:AG35 M37:M65 Q37:Q65 U37:U65 AC37:AC65 AG37:AG65 AK37:AK65 M67:M68">
    <cfRule type="cellIs" dxfId="690" priority="8111" operator="equal">
      <formula>"N/A"</formula>
    </cfRule>
  </conditionalFormatting>
  <conditionalFormatting sqref="M7:M10 AG32:AG65 M37:M65 Q37:Q65 U37:U65 AC37:AC65 AK37:AK65 M67:M68">
    <cfRule type="cellIs" dxfId="689" priority="8112" operator="equal">
      <formula>"OK"</formula>
    </cfRule>
  </conditionalFormatting>
  <conditionalFormatting sqref="M12:M30">
    <cfRule type="cellIs" dxfId="688" priority="100" operator="equal">
      <formula>"N/A"</formula>
    </cfRule>
    <cfRule type="cellIs" dxfId="687" priority="101" operator="equal">
      <formula>"OK"</formula>
    </cfRule>
  </conditionalFormatting>
  <conditionalFormatting sqref="M41:M50">
    <cfRule type="cellIs" dxfId="686" priority="56" operator="equal">
      <formula>"Skip"</formula>
    </cfRule>
    <cfRule type="cellIs" dxfId="685" priority="57" operator="equal">
      <formula>"NG"</formula>
    </cfRule>
  </conditionalFormatting>
  <conditionalFormatting sqref="M54:M64">
    <cfRule type="cellIs" dxfId="684" priority="23" operator="equal">
      <formula>"Skip"</formula>
    </cfRule>
    <cfRule type="cellIs" dxfId="683" priority="24" operator="equal">
      <formula>"NG"</formula>
    </cfRule>
  </conditionalFormatting>
  <conditionalFormatting sqref="M75:M78">
    <cfRule type="cellIs" dxfId="682" priority="7908" operator="equal">
      <formula>"N/A"</formula>
    </cfRule>
    <cfRule type="cellIs" dxfId="681" priority="7906" operator="equal">
      <formula>"Skip"</formula>
    </cfRule>
    <cfRule type="cellIs" dxfId="680" priority="7909" operator="equal">
      <formula>"OK"</formula>
    </cfRule>
    <cfRule type="cellIs" dxfId="679" priority="7907" operator="equal">
      <formula>"NG"</formula>
    </cfRule>
  </conditionalFormatting>
  <conditionalFormatting sqref="M69:N69">
    <cfRule type="cellIs" dxfId="678" priority="8744" operator="equal">
      <formula>"OK"</formula>
    </cfRule>
  </conditionalFormatting>
  <conditionalFormatting sqref="N5">
    <cfRule type="expression" dxfId="677" priority="7835">
      <formula>#REF!="N/A"</formula>
    </cfRule>
  </conditionalFormatting>
  <conditionalFormatting sqref="N7:N10 N12:N30">
    <cfRule type="expression" dxfId="676" priority="7836">
      <formula>#REF!="N/A"</formula>
    </cfRule>
  </conditionalFormatting>
  <conditionalFormatting sqref="N75:N78">
    <cfRule type="expression" dxfId="675" priority="7786">
      <formula>#REF!="N/A"</formula>
    </cfRule>
  </conditionalFormatting>
  <conditionalFormatting sqref="P5">
    <cfRule type="cellIs" dxfId="674" priority="1357" operator="equal">
      <formula>"OK"</formula>
    </cfRule>
    <cfRule type="cellIs" dxfId="673" priority="1356" operator="equal">
      <formula>"N/A"</formula>
    </cfRule>
    <cfRule type="expression" dxfId="672" priority="1358">
      <formula>#REF!="N/A"</formula>
    </cfRule>
  </conditionalFormatting>
  <conditionalFormatting sqref="P7:P10">
    <cfRule type="expression" dxfId="671" priority="1643">
      <formula>#REF!="N/A"</formula>
    </cfRule>
    <cfRule type="cellIs" dxfId="670" priority="1642" operator="equal">
      <formula>"OK"</formula>
    </cfRule>
    <cfRule type="cellIs" dxfId="669" priority="1641" operator="equal">
      <formula>"N/A"</formula>
    </cfRule>
  </conditionalFormatting>
  <conditionalFormatting sqref="P37:P47">
    <cfRule type="expression" dxfId="668" priority="2337">
      <formula>#REF!="N/A"</formula>
    </cfRule>
  </conditionalFormatting>
  <conditionalFormatting sqref="P44:P47">
    <cfRule type="cellIs" dxfId="667" priority="2333" operator="equal">
      <formula>"Skip"</formula>
    </cfRule>
  </conditionalFormatting>
  <conditionalFormatting sqref="P48:P65">
    <cfRule type="expression" dxfId="666" priority="12120">
      <formula>#REF!="N/A"</formula>
    </cfRule>
  </conditionalFormatting>
  <conditionalFormatting sqref="P69">
    <cfRule type="cellIs" dxfId="665" priority="12022" operator="equal">
      <formula>"OK"</formula>
    </cfRule>
  </conditionalFormatting>
  <conditionalFormatting sqref="P75:P78">
    <cfRule type="cellIs" dxfId="664" priority="11919" operator="equal">
      <formula>"N/A"</formula>
    </cfRule>
    <cfRule type="cellIs" dxfId="663" priority="11920" operator="equal">
      <formula>"OK"</formula>
    </cfRule>
    <cfRule type="expression" dxfId="662" priority="11921">
      <formula>#REF!="N/A"</formula>
    </cfRule>
  </conditionalFormatting>
  <conditionalFormatting sqref="P5:Q10">
    <cfRule type="cellIs" dxfId="661" priority="1355" operator="equal">
      <formula>"NG"</formula>
    </cfRule>
    <cfRule type="cellIs" dxfId="660" priority="1354" operator="equal">
      <formula>"Skip"</formula>
    </cfRule>
  </conditionalFormatting>
  <conditionalFormatting sqref="P6:Q6">
    <cfRule type="cellIs" dxfId="659" priority="12694" operator="equal">
      <formula>"OK"</formula>
    </cfRule>
    <cfRule type="cellIs" dxfId="658" priority="12693" operator="equal">
      <formula>"N/A"</formula>
    </cfRule>
  </conditionalFormatting>
  <conditionalFormatting sqref="P32:Q43 L37:M65 P48:Q65">
    <cfRule type="cellIs" dxfId="657" priority="7843" operator="equal">
      <formula>"Skip"</formula>
    </cfRule>
  </conditionalFormatting>
  <conditionalFormatting sqref="P74:Q74">
    <cfRule type="cellIs" dxfId="656" priority="11979" operator="equal">
      <formula>"OK"</formula>
    </cfRule>
    <cfRule type="cellIs" dxfId="655" priority="11978" operator="equal">
      <formula>"N/A"</formula>
    </cfRule>
  </conditionalFormatting>
  <conditionalFormatting sqref="P11:R11 P31:R31 P36:R36 P69:R69">
    <cfRule type="cellIs" dxfId="654" priority="15721" operator="equal">
      <formula>"N/A"</formula>
    </cfRule>
  </conditionalFormatting>
  <conditionalFormatting sqref="P11:R11 P31:R31 P36:R36 Q69:R69">
    <cfRule type="cellIs" dxfId="653" priority="15722" operator="equal">
      <formula>"OK"</formula>
    </cfRule>
  </conditionalFormatting>
  <conditionalFormatting sqref="P11:R11 P31:R31 R36 P69:R69">
    <cfRule type="cellIs" dxfId="652" priority="15719" operator="equal">
      <formula>"Skip"</formula>
    </cfRule>
    <cfRule type="cellIs" dxfId="651" priority="15720" operator="equal">
      <formula>"NG"</formula>
    </cfRule>
  </conditionalFormatting>
  <conditionalFormatting sqref="P66:R66">
    <cfRule type="cellIs" dxfId="650" priority="15715" operator="equal">
      <formula>"Skip"</formula>
    </cfRule>
    <cfRule type="cellIs" dxfId="649" priority="15718" operator="equal">
      <formula>"OK"</formula>
    </cfRule>
    <cfRule type="cellIs" dxfId="648" priority="15716" operator="equal">
      <formula>"NG"</formula>
    </cfRule>
    <cfRule type="cellIs" dxfId="647" priority="15717" operator="equal">
      <formula>"N/A"</formula>
    </cfRule>
  </conditionalFormatting>
  <conditionalFormatting sqref="Q5">
    <cfRule type="cellIs" dxfId="646" priority="1361" operator="equal">
      <formula>"N/A"</formula>
    </cfRule>
    <cfRule type="cellIs" dxfId="645" priority="1362" operator="equal">
      <formula>"OK"</formula>
    </cfRule>
  </conditionalFormatting>
  <conditionalFormatting sqref="Q7:Q10">
    <cfRule type="cellIs" dxfId="644" priority="1647" operator="equal">
      <formula>"OK"</formula>
    </cfRule>
    <cfRule type="cellIs" dxfId="643" priority="1646" operator="equal">
      <formula>"N/A"</formula>
    </cfRule>
  </conditionalFormatting>
  <conditionalFormatting sqref="Q12:Q30">
    <cfRule type="cellIs" dxfId="642" priority="96" operator="equal">
      <formula>"OK"</formula>
    </cfRule>
    <cfRule type="cellIs" dxfId="641" priority="97" operator="equal">
      <formula>"N/A"</formula>
    </cfRule>
  </conditionalFormatting>
  <conditionalFormatting sqref="Q26:Q27">
    <cfRule type="cellIs" dxfId="640" priority="103" operator="equal">
      <formula>"Skip"</formula>
    </cfRule>
    <cfRule type="cellIs" dxfId="639" priority="102" operator="equal">
      <formula>"NG"</formula>
    </cfRule>
  </conditionalFormatting>
  <conditionalFormatting sqref="Q41:Q50">
    <cfRule type="cellIs" dxfId="638" priority="67" operator="equal">
      <formula>"NG"</formula>
    </cfRule>
  </conditionalFormatting>
  <conditionalFormatting sqref="Q41:Q64">
    <cfRule type="cellIs" dxfId="637" priority="21" operator="equal">
      <formula>"Skip"</formula>
    </cfRule>
  </conditionalFormatting>
  <conditionalFormatting sqref="Q52:Q64">
    <cfRule type="cellIs" dxfId="636" priority="22" operator="equal">
      <formula>"NG"</formula>
    </cfRule>
  </conditionalFormatting>
  <conditionalFormatting sqref="Q75:Q78">
    <cfRule type="cellIs" dxfId="635" priority="3437" operator="equal">
      <formula>"N/A"</formula>
    </cfRule>
    <cfRule type="cellIs" dxfId="634" priority="3438" operator="equal">
      <formula>"OK"</formula>
    </cfRule>
  </conditionalFormatting>
  <conditionalFormatting sqref="R5">
    <cfRule type="expression" dxfId="633" priority="1353">
      <formula>#REF!="N/A"</formula>
    </cfRule>
  </conditionalFormatting>
  <conditionalFormatting sqref="R7:R10">
    <cfRule type="expression" dxfId="632" priority="1638">
      <formula>#REF!="N/A"</formula>
    </cfRule>
  </conditionalFormatting>
  <conditionalFormatting sqref="R12:R15">
    <cfRule type="expression" dxfId="631" priority="1101">
      <formula>#REF!="N/A"</formula>
    </cfRule>
  </conditionalFormatting>
  <conditionalFormatting sqref="R75:R78">
    <cfRule type="expression" dxfId="630" priority="11984">
      <formula>#REF!="N/A"</formula>
    </cfRule>
  </conditionalFormatting>
  <conditionalFormatting sqref="T5">
    <cfRule type="expression" dxfId="629" priority="1348">
      <formula>#REF!="N/A"</formula>
    </cfRule>
    <cfRule type="cellIs" dxfId="628" priority="1346" operator="equal">
      <formula>"N/A"</formula>
    </cfRule>
    <cfRule type="cellIs" dxfId="627" priority="1347" operator="equal">
      <formula>"OK"</formula>
    </cfRule>
  </conditionalFormatting>
  <conditionalFormatting sqref="T7:T10">
    <cfRule type="cellIs" dxfId="626" priority="1586" operator="equal">
      <formula>"N/A"</formula>
    </cfRule>
    <cfRule type="cellIs" dxfId="625" priority="1587" operator="equal">
      <formula>"OK"</formula>
    </cfRule>
    <cfRule type="expression" dxfId="624" priority="1588">
      <formula>#REF!="N/A"</formula>
    </cfRule>
  </conditionalFormatting>
  <conditionalFormatting sqref="T37:T47">
    <cfRule type="expression" dxfId="623" priority="2291">
      <formula>#REF!="N/A"</formula>
    </cfRule>
  </conditionalFormatting>
  <conditionalFormatting sqref="T44:T47">
    <cfRule type="cellIs" dxfId="622" priority="2287" operator="equal">
      <formula>"Skip"</formula>
    </cfRule>
    <cfRule type="cellIs" dxfId="621" priority="2288" operator="equal">
      <formula>"NG"</formula>
    </cfRule>
  </conditionalFormatting>
  <conditionalFormatting sqref="T69">
    <cfRule type="cellIs" dxfId="620" priority="3707" operator="equal">
      <formula>"OK"</formula>
    </cfRule>
  </conditionalFormatting>
  <conditionalFormatting sqref="T75:T78">
    <cfRule type="cellIs" dxfId="619" priority="3577" operator="equal">
      <formula>"OK"</formula>
    </cfRule>
    <cfRule type="expression" dxfId="618" priority="3578">
      <formula>#REF!="N/A"</formula>
    </cfRule>
    <cfRule type="cellIs" dxfId="617" priority="3576" operator="equal">
      <formula>"N/A"</formula>
    </cfRule>
  </conditionalFormatting>
  <conditionalFormatting sqref="T5:U10">
    <cfRule type="cellIs" dxfId="616" priority="1344" operator="equal">
      <formula>"Skip"</formula>
    </cfRule>
    <cfRule type="cellIs" dxfId="615" priority="1345" operator="equal">
      <formula>"NG"</formula>
    </cfRule>
  </conditionalFormatting>
  <conditionalFormatting sqref="T6:U6">
    <cfRule type="cellIs" dxfId="614" priority="4324" operator="equal">
      <formula>"N/A"</formula>
    </cfRule>
    <cfRule type="cellIs" dxfId="613" priority="4325" operator="equal">
      <formula>"OK"</formula>
    </cfRule>
  </conditionalFormatting>
  <conditionalFormatting sqref="T74:U74">
    <cfRule type="cellIs" dxfId="612" priority="3648" operator="equal">
      <formula>"N/A"</formula>
    </cfRule>
    <cfRule type="cellIs" dxfId="611" priority="3649" operator="equal">
      <formula>"OK"</formula>
    </cfRule>
  </conditionalFormatting>
  <conditionalFormatting sqref="T11:V11 T31:V31 T36:V36 T69:V69">
    <cfRule type="cellIs" dxfId="610" priority="4352" operator="equal">
      <formula>"N/A"</formula>
    </cfRule>
  </conditionalFormatting>
  <conditionalFormatting sqref="T11:V11 T31:V31 T36:V36 U69:V69">
    <cfRule type="cellIs" dxfId="609" priority="4353" operator="equal">
      <formula>"OK"</formula>
    </cfRule>
  </conditionalFormatting>
  <conditionalFormatting sqref="T11:V11 T31:V31 V36 T69:V69">
    <cfRule type="cellIs" dxfId="608" priority="4350" operator="equal">
      <formula>"Skip"</formula>
    </cfRule>
    <cfRule type="cellIs" dxfId="607" priority="4351" operator="equal">
      <formula>"NG"</formula>
    </cfRule>
  </conditionalFormatting>
  <conditionalFormatting sqref="T66:V66">
    <cfRule type="cellIs" dxfId="606" priority="4349" operator="equal">
      <formula>"OK"</formula>
    </cfRule>
    <cfRule type="cellIs" dxfId="605" priority="4348" operator="equal">
      <formula>"N/A"</formula>
    </cfRule>
    <cfRule type="cellIs" dxfId="604" priority="4347" operator="equal">
      <formula>"NG"</formula>
    </cfRule>
    <cfRule type="cellIs" dxfId="603" priority="4346" operator="equal">
      <formula>"Skip"</formula>
    </cfRule>
  </conditionalFormatting>
  <conditionalFormatting sqref="U5">
    <cfRule type="cellIs" dxfId="602" priority="1352" operator="equal">
      <formula>"OK"</formula>
    </cfRule>
    <cfRule type="cellIs" dxfId="601" priority="1351" operator="equal">
      <formula>"N/A"</formula>
    </cfRule>
  </conditionalFormatting>
  <conditionalFormatting sqref="U7:U10">
    <cfRule type="cellIs" dxfId="600" priority="1592" operator="equal">
      <formula>"OK"</formula>
    </cfRule>
    <cfRule type="cellIs" dxfId="599" priority="1591" operator="equal">
      <formula>"N/A"</formula>
    </cfRule>
  </conditionalFormatting>
  <conditionalFormatting sqref="U12:U30">
    <cfRule type="cellIs" dxfId="598" priority="95" operator="equal">
      <formula>"N/A"</formula>
    </cfRule>
    <cfRule type="cellIs" dxfId="597" priority="94" operator="equal">
      <formula>"OK"</formula>
    </cfRule>
  </conditionalFormatting>
  <conditionalFormatting sqref="U26:U27">
    <cfRule type="cellIs" dxfId="596" priority="104" operator="equal">
      <formula>"NG"</formula>
    </cfRule>
    <cfRule type="cellIs" dxfId="595" priority="105" operator="equal">
      <formula>"Skip"</formula>
    </cfRule>
  </conditionalFormatting>
  <conditionalFormatting sqref="U41:U64">
    <cfRule type="cellIs" dxfId="594" priority="18" operator="equal">
      <formula>"NG"</formula>
    </cfRule>
    <cfRule type="cellIs" dxfId="593" priority="17" operator="equal">
      <formula>"Skip"</formula>
    </cfRule>
  </conditionalFormatting>
  <conditionalFormatting sqref="U75:U78">
    <cfRule type="cellIs" dxfId="592" priority="3428" operator="equal">
      <formula>"OK"</formula>
    </cfRule>
    <cfRule type="cellIs" dxfId="591" priority="3427" operator="equal">
      <formula>"N/A"</formula>
    </cfRule>
  </conditionalFormatting>
  <conditionalFormatting sqref="V5">
    <cfRule type="expression" dxfId="590" priority="1343">
      <formula>#REF!="N/A"</formula>
    </cfRule>
  </conditionalFormatting>
  <conditionalFormatting sqref="V7:V10">
    <cfRule type="expression" dxfId="589" priority="1583">
      <formula>#REF!="N/A"</formula>
    </cfRule>
  </conditionalFormatting>
  <conditionalFormatting sqref="V12:V15">
    <cfRule type="expression" dxfId="588" priority="1058">
      <formula>#REF!="N/A"</formula>
    </cfRule>
  </conditionalFormatting>
  <conditionalFormatting sqref="V75:V78">
    <cfRule type="expression" dxfId="587" priority="3654">
      <formula>#REF!="N/A"</formula>
    </cfRule>
  </conditionalFormatting>
  <conditionalFormatting sqref="X5">
    <cfRule type="cellIs" dxfId="586" priority="1337" operator="equal">
      <formula>"OK"</formula>
    </cfRule>
    <cfRule type="cellIs" dxfId="585" priority="1336" operator="equal">
      <formula>"N/A"</formula>
    </cfRule>
    <cfRule type="expression" dxfId="584" priority="1338">
      <formula>#REF!="N/A"</formula>
    </cfRule>
  </conditionalFormatting>
  <conditionalFormatting sqref="X7:X10">
    <cfRule type="cellIs" dxfId="583" priority="1531" operator="equal">
      <formula>"N/A"</formula>
    </cfRule>
    <cfRule type="cellIs" dxfId="582" priority="1532" operator="equal">
      <formula>"OK"</formula>
    </cfRule>
    <cfRule type="expression" dxfId="581" priority="1533">
      <formula>#REF!="N/A"</formula>
    </cfRule>
  </conditionalFormatting>
  <conditionalFormatting sqref="X36">
    <cfRule type="cellIs" dxfId="580" priority="17765" operator="equal">
      <formula>"N/A"</formula>
    </cfRule>
    <cfRule type="cellIs" dxfId="579" priority="17766" operator="equal">
      <formula>"OK"</formula>
    </cfRule>
  </conditionalFormatting>
  <conditionalFormatting sqref="X37:X47">
    <cfRule type="expression" dxfId="578" priority="2245">
      <formula>#REF!="N/A"</formula>
    </cfRule>
  </conditionalFormatting>
  <conditionalFormatting sqref="X48:X65">
    <cfRule type="expression" dxfId="577" priority="11313">
      <formula>#REF!="N/A"</formula>
    </cfRule>
  </conditionalFormatting>
  <conditionalFormatting sqref="X69">
    <cfRule type="cellIs" dxfId="576" priority="11215" operator="equal">
      <formula>"OK"</formula>
    </cfRule>
  </conditionalFormatting>
  <conditionalFormatting sqref="X75:X78">
    <cfRule type="cellIs" dxfId="575" priority="11112" operator="equal">
      <formula>"N/A"</formula>
    </cfRule>
    <cfRule type="expression" dxfId="574" priority="11114">
      <formula>#REF!="N/A"</formula>
    </cfRule>
    <cfRule type="cellIs" dxfId="573" priority="11113" operator="equal">
      <formula>"OK"</formula>
    </cfRule>
  </conditionalFormatting>
  <conditionalFormatting sqref="X5:Y10">
    <cfRule type="cellIs" dxfId="572" priority="1334" operator="equal">
      <formula>"Skip"</formula>
    </cfRule>
    <cfRule type="cellIs" dxfId="571" priority="1335" operator="equal">
      <formula>"NG"</formula>
    </cfRule>
  </conditionalFormatting>
  <conditionalFormatting sqref="X6:Y6">
    <cfRule type="cellIs" dxfId="570" priority="11891" operator="equal">
      <formula>"N/A"</formula>
    </cfRule>
    <cfRule type="cellIs" dxfId="569" priority="11892" operator="equal">
      <formula>"OK"</formula>
    </cfRule>
  </conditionalFormatting>
  <conditionalFormatting sqref="X32:Y65">
    <cfRule type="cellIs" dxfId="568" priority="14" operator="equal">
      <formula>"NG"</formula>
    </cfRule>
    <cfRule type="cellIs" dxfId="567" priority="13" operator="equal">
      <formula>"Skip"</formula>
    </cfRule>
  </conditionalFormatting>
  <conditionalFormatting sqref="X74:Y74">
    <cfRule type="cellIs" dxfId="566" priority="11171" operator="equal">
      <formula>"N/A"</formula>
    </cfRule>
    <cfRule type="cellIs" dxfId="565" priority="11172" operator="equal">
      <formula>"OK"</formula>
    </cfRule>
  </conditionalFormatting>
  <conditionalFormatting sqref="X11:Z11 X31:Z31 Z36 X69:Z69">
    <cfRule type="cellIs" dxfId="564" priority="15636" operator="equal">
      <formula>"NG"</formula>
    </cfRule>
    <cfRule type="cellIs" dxfId="563" priority="15637" operator="equal">
      <formula>"N/A"</formula>
    </cfRule>
    <cfRule type="cellIs" dxfId="562" priority="15635" operator="equal">
      <formula>"Skip"</formula>
    </cfRule>
  </conditionalFormatting>
  <conditionalFormatting sqref="X11:Z11 X31:Z31 Z36 Y69:Z69">
    <cfRule type="cellIs" dxfId="561" priority="15638" operator="equal">
      <formula>"OK"</formula>
    </cfRule>
  </conditionalFormatting>
  <conditionalFormatting sqref="X66:Z66">
    <cfRule type="cellIs" dxfId="560" priority="15632" operator="equal">
      <formula>"NG"</formula>
    </cfRule>
    <cfRule type="cellIs" dxfId="559" priority="15631" operator="equal">
      <formula>"Skip"</formula>
    </cfRule>
    <cfRule type="cellIs" dxfId="558" priority="15633" operator="equal">
      <formula>"N/A"</formula>
    </cfRule>
    <cfRule type="cellIs" dxfId="557" priority="15634" operator="equal">
      <formula>"OK"</formula>
    </cfRule>
  </conditionalFormatting>
  <conditionalFormatting sqref="Y5">
    <cfRule type="cellIs" dxfId="556" priority="1341" operator="equal">
      <formula>"N/A"</formula>
    </cfRule>
    <cfRule type="cellIs" dxfId="555" priority="1342" operator="equal">
      <formula>"OK"</formula>
    </cfRule>
  </conditionalFormatting>
  <conditionalFormatting sqref="Y7:Y10">
    <cfRule type="cellIs" dxfId="554" priority="1536" operator="equal">
      <formula>"N/A"</formula>
    </cfRule>
    <cfRule type="cellIs" dxfId="553" priority="1537" operator="equal">
      <formula>"OK"</formula>
    </cfRule>
  </conditionalFormatting>
  <conditionalFormatting sqref="Y12:Y30">
    <cfRule type="cellIs" dxfId="552" priority="92" operator="equal">
      <formula>"OK"</formula>
    </cfRule>
    <cfRule type="cellIs" dxfId="551" priority="93" operator="equal">
      <formula>"N/A"</formula>
    </cfRule>
  </conditionalFormatting>
  <conditionalFormatting sqref="Y26:Y27">
    <cfRule type="cellIs" dxfId="550" priority="106" operator="equal">
      <formula>"NG"</formula>
    </cfRule>
    <cfRule type="cellIs" dxfId="549" priority="107" operator="equal">
      <formula>"Skip"</formula>
    </cfRule>
  </conditionalFormatting>
  <conditionalFormatting sqref="Y32:Y65">
    <cfRule type="cellIs" dxfId="548" priority="16" operator="equal">
      <formula>"OK"</formula>
    </cfRule>
    <cfRule type="cellIs" dxfId="547" priority="15" operator="equal">
      <formula>"N/A"</formula>
    </cfRule>
  </conditionalFormatting>
  <conditionalFormatting sqref="Y75:Y78">
    <cfRule type="cellIs" dxfId="546" priority="3418" operator="equal">
      <formula>"OK"</formula>
    </cfRule>
    <cfRule type="cellIs" dxfId="545" priority="3417" operator="equal">
      <formula>"N/A"</formula>
    </cfRule>
  </conditionalFormatting>
  <conditionalFormatting sqref="Z5">
    <cfRule type="expression" dxfId="544" priority="1333">
      <formula>#REF!="N/A"</formula>
    </cfRule>
  </conditionalFormatting>
  <conditionalFormatting sqref="Z7:Z10">
    <cfRule type="expression" dxfId="543" priority="1528">
      <formula>#REF!="N/A"</formula>
    </cfRule>
  </conditionalFormatting>
  <conditionalFormatting sqref="Z12:Z24">
    <cfRule type="expression" dxfId="542" priority="1015">
      <formula>#REF!="N/A"</formula>
    </cfRule>
  </conditionalFormatting>
  <conditionalFormatting sqref="Z75:Z78">
    <cfRule type="expression" dxfId="541" priority="11177">
      <formula>#REF!="N/A"</formula>
    </cfRule>
  </conditionalFormatting>
  <conditionalFormatting sqref="AB5">
    <cfRule type="expression" dxfId="540" priority="1328">
      <formula>#REF!="N/A"</formula>
    </cfRule>
    <cfRule type="cellIs" dxfId="539" priority="1326" operator="equal">
      <formula>"N/A"</formula>
    </cfRule>
    <cfRule type="cellIs" dxfId="538" priority="1327" operator="equal">
      <formula>"OK"</formula>
    </cfRule>
  </conditionalFormatting>
  <conditionalFormatting sqref="AB7:AB10">
    <cfRule type="cellIs" dxfId="537" priority="1476" operator="equal">
      <formula>"N/A"</formula>
    </cfRule>
    <cfRule type="cellIs" dxfId="536" priority="1477" operator="equal">
      <formula>"OK"</formula>
    </cfRule>
    <cfRule type="expression" dxfId="535" priority="1478">
      <formula>#REF!="N/A"</formula>
    </cfRule>
  </conditionalFormatting>
  <conditionalFormatting sqref="AB37:AB43">
    <cfRule type="expression" dxfId="534" priority="2207">
      <formula>#REF!="N/A"</formula>
    </cfRule>
  </conditionalFormatting>
  <conditionalFormatting sqref="AB37:AB56">
    <cfRule type="cellIs" dxfId="533" priority="2197" operator="equal">
      <formula>"N/A"</formula>
    </cfRule>
    <cfRule type="cellIs" dxfId="532" priority="2198" operator="equal">
      <formula>"OK"</formula>
    </cfRule>
  </conditionalFormatting>
  <conditionalFormatting sqref="AB44:AB47">
    <cfRule type="cellIs" dxfId="531" priority="2195" operator="equal">
      <formula>"Skip"</formula>
    </cfRule>
    <cfRule type="cellIs" dxfId="530" priority="2196" operator="equal">
      <formula>"NG"</formula>
    </cfRule>
    <cfRule type="expression" dxfId="529" priority="2199">
      <formula>#REF!="N/A"</formula>
    </cfRule>
  </conditionalFormatting>
  <conditionalFormatting sqref="AB48:AB51">
    <cfRule type="expression" dxfId="528" priority="7470">
      <formula>#REF!="N/A"</formula>
    </cfRule>
  </conditionalFormatting>
  <conditionalFormatting sqref="AB52:AB56">
    <cfRule type="cellIs" dxfId="527" priority="2668" operator="equal">
      <formula>"Skip"</formula>
    </cfRule>
    <cfRule type="expression" dxfId="526" priority="2671">
      <formula>#REF!="N/A"</formula>
    </cfRule>
  </conditionalFormatting>
  <conditionalFormatting sqref="AB53:AB64">
    <cfRule type="expression" dxfId="525" priority="5487">
      <formula>#REF!="N/A"</formula>
    </cfRule>
  </conditionalFormatting>
  <conditionalFormatting sqref="AB69">
    <cfRule type="cellIs" dxfId="524" priority="7716" operator="equal">
      <formula>"OK"</formula>
    </cfRule>
  </conditionalFormatting>
  <conditionalFormatting sqref="AB75:AB78">
    <cfRule type="expression" dxfId="523" priority="6895">
      <formula>#REF!="N/A"</formula>
    </cfRule>
    <cfRule type="cellIs" dxfId="522" priority="6894" operator="equal">
      <formula>"OK"</formula>
    </cfRule>
    <cfRule type="cellIs" dxfId="521" priority="6893" operator="equal">
      <formula>"N/A"</formula>
    </cfRule>
  </conditionalFormatting>
  <conditionalFormatting sqref="AB5:AC30 AJ12:AK19 P12:Q30 T12:U30 X12:Y30 AF12:AG30 AJ20 L32:M35 AB32:AC35 AJ32:AK35 AF32:AG38 T32:U43 AJ62:AK65 L67:M68 P67:Q68 T67:U68 X67:Y68 AB67:AC68 AF67:AG68 AJ67:AK68 AF70:AG73 AJ70:AK73 L70:M74 P70:Q78 T70:U78 X70:Y78 AB70:AC78">
    <cfRule type="cellIs" dxfId="520" priority="134" operator="equal">
      <formula>"Skip"</formula>
    </cfRule>
  </conditionalFormatting>
  <conditionalFormatting sqref="AB5:AC30 AJ12:AK19 P12:Q30 T12:U30 X12:Y30 AF12:AG30 AJ20 L32:M35 AB32:AC35 AJ32:AK35 AF32:AG38 T32:U43 AJ65:AK65 L67:M68 P67:Q68 T67:U68 X67:Y68 AB67:AC68 AF67:AG68 AJ67:AK68 AF70:AG73 AJ70:AK73 L70:M74 P70:Q78 T70:U78 X70:Y78 AB70:AC78">
    <cfRule type="cellIs" dxfId="519" priority="135" operator="equal">
      <formula>"NG"</formula>
    </cfRule>
  </conditionalFormatting>
  <conditionalFormatting sqref="AB6:AC6">
    <cfRule type="cellIs" dxfId="518" priority="7558" operator="equal">
      <formula>"N/A"</formula>
    </cfRule>
    <cfRule type="cellIs" dxfId="517" priority="7559" operator="equal">
      <formula>"OK"</formula>
    </cfRule>
  </conditionalFormatting>
  <conditionalFormatting sqref="AB11:AC11">
    <cfRule type="cellIs" dxfId="516" priority="7711" operator="equal">
      <formula>"N/A"</formula>
    </cfRule>
    <cfRule type="cellIs" dxfId="515" priority="7712" operator="equal">
      <formula>"OK"</formula>
    </cfRule>
  </conditionalFormatting>
  <conditionalFormatting sqref="AB37:AC43">
    <cfRule type="cellIs" dxfId="514" priority="2204" operator="equal">
      <formula>"NG"</formula>
    </cfRule>
    <cfRule type="cellIs" dxfId="513" priority="2203" operator="equal">
      <formula>"Skip"</formula>
    </cfRule>
  </conditionalFormatting>
  <conditionalFormatting sqref="AB48:AC51">
    <cfRule type="cellIs" dxfId="512" priority="7466" operator="equal">
      <formula>"Skip"</formula>
    </cfRule>
  </conditionalFormatting>
  <conditionalFormatting sqref="AB48:AC56">
    <cfRule type="cellIs" dxfId="511" priority="2667" operator="equal">
      <formula>"NG"</formula>
    </cfRule>
  </conditionalFormatting>
  <conditionalFormatting sqref="AB53:AC65 P32:Q65 L37:M65 AF65:AG65">
    <cfRule type="cellIs" dxfId="510" priority="7844" operator="equal">
      <formula>"NG"</formula>
    </cfRule>
  </conditionalFormatting>
  <conditionalFormatting sqref="AB53:AC65">
    <cfRule type="cellIs" dxfId="509" priority="5483" operator="equal">
      <formula>"Skip"</formula>
    </cfRule>
  </conditionalFormatting>
  <conditionalFormatting sqref="AB74:AC74">
    <cfRule type="cellIs" dxfId="508" priority="7696" operator="equal">
      <formula>"OK"</formula>
    </cfRule>
    <cfRule type="cellIs" dxfId="507" priority="7695" operator="equal">
      <formula>"N/A"</formula>
    </cfRule>
  </conditionalFormatting>
  <conditionalFormatting sqref="AB31:AD31">
    <cfRule type="cellIs" dxfId="506" priority="7708" operator="equal">
      <formula>"OK"</formula>
    </cfRule>
    <cfRule type="cellIs" dxfId="505" priority="7707" operator="equal">
      <formula>"N/A"</formula>
    </cfRule>
    <cfRule type="cellIs" dxfId="504" priority="7706" operator="equal">
      <formula>"NG"</formula>
    </cfRule>
    <cfRule type="cellIs" dxfId="503" priority="7705" operator="equal">
      <formula>"Skip"</formula>
    </cfRule>
  </conditionalFormatting>
  <conditionalFormatting sqref="AB36:AD36">
    <cfRule type="cellIs" dxfId="502" priority="7701" operator="equal">
      <formula>"Skip"</formula>
    </cfRule>
    <cfRule type="cellIs" dxfId="501" priority="7702" operator="equal">
      <formula>"NG"</formula>
    </cfRule>
    <cfRule type="cellIs" dxfId="500" priority="7703" operator="equal">
      <formula>"N/A"</formula>
    </cfRule>
    <cfRule type="cellIs" dxfId="499" priority="7704" operator="equal">
      <formula>"OK"</formula>
    </cfRule>
  </conditionalFormatting>
  <conditionalFormatting sqref="AB66:AD66">
    <cfRule type="cellIs" dxfId="498" priority="7697" operator="equal">
      <formula>"Skip"</formula>
    </cfRule>
    <cfRule type="cellIs" dxfId="497" priority="7698" operator="equal">
      <formula>"NG"</formula>
    </cfRule>
    <cfRule type="cellIs" dxfId="496" priority="7699" operator="equal">
      <formula>"N/A"</formula>
    </cfRule>
    <cfRule type="cellIs" dxfId="495" priority="7700" operator="equal">
      <formula>"OK"</formula>
    </cfRule>
  </conditionalFormatting>
  <conditionalFormatting sqref="AB69:AD69">
    <cfRule type="cellIs" dxfId="494" priority="7715" operator="equal">
      <formula>"N/A"</formula>
    </cfRule>
    <cfRule type="cellIs" dxfId="493" priority="7714" operator="equal">
      <formula>"NG"</formula>
    </cfRule>
    <cfRule type="cellIs" dxfId="492" priority="7713" operator="equal">
      <formula>"Skip"</formula>
    </cfRule>
  </conditionalFormatting>
  <conditionalFormatting sqref="AC5">
    <cfRule type="cellIs" dxfId="491" priority="1332" operator="equal">
      <formula>"OK"</formula>
    </cfRule>
    <cfRule type="cellIs" dxfId="490" priority="1331" operator="equal">
      <formula>"N/A"</formula>
    </cfRule>
  </conditionalFormatting>
  <conditionalFormatting sqref="AC7:AC10">
    <cfRule type="cellIs" dxfId="489" priority="1481" operator="equal">
      <formula>"N/A"</formula>
    </cfRule>
    <cfRule type="cellIs" dxfId="488" priority="1482" operator="equal">
      <formula>"OK"</formula>
    </cfRule>
  </conditionalFormatting>
  <conditionalFormatting sqref="AC12:AC30">
    <cfRule type="cellIs" dxfId="487" priority="90" operator="equal">
      <formula>"OK"</formula>
    </cfRule>
    <cfRule type="cellIs" dxfId="486" priority="91" operator="equal">
      <formula>"N/A"</formula>
    </cfRule>
  </conditionalFormatting>
  <conditionalFormatting sqref="AC26:AC27">
    <cfRule type="cellIs" dxfId="485" priority="109" operator="equal">
      <formula>"Skip"</formula>
    </cfRule>
    <cfRule type="cellIs" dxfId="484" priority="108" operator="equal">
      <formula>"NG"</formula>
    </cfRule>
  </conditionalFormatting>
  <conditionalFormatting sqref="AC41:AC64">
    <cfRule type="cellIs" dxfId="483" priority="2" operator="equal">
      <formula>"NG"</formula>
    </cfRule>
    <cfRule type="cellIs" dxfId="482" priority="1" operator="equal">
      <formula>"Skip"</formula>
    </cfRule>
  </conditionalFormatting>
  <conditionalFormatting sqref="AC75:AC78">
    <cfRule type="cellIs" dxfId="481" priority="3408" operator="equal">
      <formula>"OK"</formula>
    </cfRule>
    <cfRule type="cellIs" dxfId="480" priority="3407" operator="equal">
      <formula>"N/A"</formula>
    </cfRule>
  </conditionalFormatting>
  <conditionalFormatting sqref="AC69:AD69">
    <cfRule type="cellIs" dxfId="479" priority="7725" operator="equal">
      <formula>"OK"</formula>
    </cfRule>
  </conditionalFormatting>
  <conditionalFormatting sqref="AD5">
    <cfRule type="expression" dxfId="478" priority="1323">
      <formula>#REF!="N/A"</formula>
    </cfRule>
  </conditionalFormatting>
  <conditionalFormatting sqref="AD7:AD10">
    <cfRule type="expression" dxfId="477" priority="1473">
      <formula>#REF!="N/A"</formula>
    </cfRule>
  </conditionalFormatting>
  <conditionalFormatting sqref="AD12:AD30">
    <cfRule type="expression" dxfId="476" priority="972">
      <formula>#REF!="N/A"</formula>
    </cfRule>
  </conditionalFormatting>
  <conditionalFormatting sqref="AD75:AD78">
    <cfRule type="expression" dxfId="475" priority="6767">
      <formula>#REF!="N/A"</formula>
    </cfRule>
  </conditionalFormatting>
  <conditionalFormatting sqref="AF5">
    <cfRule type="expression" dxfId="474" priority="1318">
      <formula>#REF!="N/A"</formula>
    </cfRule>
    <cfRule type="cellIs" dxfId="473" priority="1316" operator="equal">
      <formula>"N/A"</formula>
    </cfRule>
    <cfRule type="cellIs" dxfId="472" priority="1317" operator="equal">
      <formula>"OK"</formula>
    </cfRule>
  </conditionalFormatting>
  <conditionalFormatting sqref="AF7:AF10">
    <cfRule type="cellIs" dxfId="471" priority="1421" operator="equal">
      <formula>"N/A"</formula>
    </cfRule>
    <cfRule type="cellIs" dxfId="470" priority="1422" operator="equal">
      <formula>"OK"</formula>
    </cfRule>
    <cfRule type="expression" dxfId="469" priority="1423">
      <formula>#REF!="N/A"</formula>
    </cfRule>
  </conditionalFormatting>
  <conditionalFormatting sqref="AF36">
    <cfRule type="cellIs" dxfId="468" priority="15525" operator="equal">
      <formula>"OK"</formula>
    </cfRule>
  </conditionalFormatting>
  <conditionalFormatting sqref="AF37:AF39">
    <cfRule type="expression" dxfId="467" priority="2160">
      <formula>#REF!="N/A"</formula>
    </cfRule>
  </conditionalFormatting>
  <conditionalFormatting sqref="AF37:AF65 AJ12:AJ30 AJ37:AJ65 AB53:AB65 P37:P65 T37:T65 X37:X65 L37:L65">
    <cfRule type="cellIs" dxfId="466" priority="7845" operator="equal">
      <formula>"N/A"</formula>
    </cfRule>
    <cfRule type="cellIs" dxfId="465" priority="7846" operator="equal">
      <formula>"OK"</formula>
    </cfRule>
  </conditionalFormatting>
  <conditionalFormatting sqref="AF39">
    <cfRule type="cellIs" dxfId="464" priority="2157" operator="equal">
      <formula>"NG"</formula>
    </cfRule>
    <cfRule type="cellIs" dxfId="463" priority="2156" operator="equal">
      <formula>"Skip"</formula>
    </cfRule>
  </conditionalFormatting>
  <conditionalFormatting sqref="AF40:AF43">
    <cfRule type="expression" dxfId="462" priority="2168">
      <formula>#REF!="N/A"</formula>
    </cfRule>
  </conditionalFormatting>
  <conditionalFormatting sqref="AF44:AF47">
    <cfRule type="expression" dxfId="461" priority="2152">
      <formula>#REF!="N/A"</formula>
    </cfRule>
    <cfRule type="cellIs" dxfId="460" priority="2149" operator="equal">
      <formula>"NG"</formula>
    </cfRule>
  </conditionalFormatting>
  <conditionalFormatting sqref="AF44:AF53">
    <cfRule type="cellIs" dxfId="459" priority="2148" operator="equal">
      <formula>"Skip"</formula>
    </cfRule>
  </conditionalFormatting>
  <conditionalFormatting sqref="AF48:AF59">
    <cfRule type="expression" dxfId="458" priority="14966">
      <formula>#REF!="N/A"</formula>
    </cfRule>
  </conditionalFormatting>
  <conditionalFormatting sqref="AF60:AF61">
    <cfRule type="cellIs" dxfId="457" priority="6306" operator="equal">
      <formula>"NG"</formula>
    </cfRule>
    <cfRule type="cellIs" dxfId="456" priority="6305" operator="equal">
      <formula>"Skip"</formula>
    </cfRule>
    <cfRule type="expression" dxfId="455" priority="6309">
      <formula>#REF!="N/A"</formula>
    </cfRule>
  </conditionalFormatting>
  <conditionalFormatting sqref="AF62:AF63">
    <cfRule type="expression" dxfId="454" priority="15203">
      <formula>#REF!="N/A"</formula>
    </cfRule>
  </conditionalFormatting>
  <conditionalFormatting sqref="AF64">
    <cfRule type="cellIs" dxfId="453" priority="6315" operator="equal">
      <formula>"NG"</formula>
    </cfRule>
    <cfRule type="expression" dxfId="452" priority="6318">
      <formula>#REF!="N/A"</formula>
    </cfRule>
  </conditionalFormatting>
  <conditionalFormatting sqref="AF69">
    <cfRule type="cellIs" dxfId="451" priority="15546" operator="equal">
      <formula>"OK"</formula>
    </cfRule>
  </conditionalFormatting>
  <conditionalFormatting sqref="AF75:AF78">
    <cfRule type="expression" dxfId="450" priority="5984">
      <formula>#REF!="N/A"</formula>
    </cfRule>
    <cfRule type="cellIs" dxfId="449" priority="5983" operator="equal">
      <formula>"OK"</formula>
    </cfRule>
    <cfRule type="cellIs" dxfId="448" priority="5982" operator="equal">
      <formula>"N/A"</formula>
    </cfRule>
  </conditionalFormatting>
  <conditionalFormatting sqref="AF5:AG10">
    <cfRule type="cellIs" dxfId="447" priority="1314" operator="equal">
      <formula>"Skip"</formula>
    </cfRule>
    <cfRule type="cellIs" dxfId="446" priority="1315" operator="equal">
      <formula>"NG"</formula>
    </cfRule>
  </conditionalFormatting>
  <conditionalFormatting sqref="AF6:AG6">
    <cfRule type="cellIs" dxfId="445" priority="15363" operator="equal">
      <formula>"N/A"</formula>
    </cfRule>
    <cfRule type="cellIs" dxfId="444" priority="15364" operator="equal">
      <formula>"OK"</formula>
    </cfRule>
  </conditionalFormatting>
  <conditionalFormatting sqref="AF40:AG43">
    <cfRule type="cellIs" dxfId="443" priority="2165" operator="equal">
      <formula>"NG"</formula>
    </cfRule>
    <cfRule type="cellIs" dxfId="442" priority="2164" operator="equal">
      <formula>"Skip"</formula>
    </cfRule>
  </conditionalFormatting>
  <conditionalFormatting sqref="AF48:AG59">
    <cfRule type="cellIs" dxfId="441" priority="3459" operator="equal">
      <formula>"NG"</formula>
    </cfRule>
  </conditionalFormatting>
  <conditionalFormatting sqref="AF54:AG59">
    <cfRule type="cellIs" dxfId="440" priority="14962" operator="equal">
      <formula>"Skip"</formula>
    </cfRule>
  </conditionalFormatting>
  <conditionalFormatting sqref="AF62:AG63">
    <cfRule type="cellIs" dxfId="439" priority="9878" operator="equal">
      <formula>"NG"</formula>
    </cfRule>
  </conditionalFormatting>
  <conditionalFormatting sqref="AF62:AG65">
    <cfRule type="cellIs" dxfId="438" priority="6314" operator="equal">
      <formula>"Skip"</formula>
    </cfRule>
  </conditionalFormatting>
  <conditionalFormatting sqref="AF75:AG78">
    <cfRule type="cellIs" dxfId="437" priority="3396" operator="equal">
      <formula>"NG"</formula>
    </cfRule>
    <cfRule type="cellIs" dxfId="436" priority="3395" operator="equal">
      <formula>"Skip"</formula>
    </cfRule>
  </conditionalFormatting>
  <conditionalFormatting sqref="AF11:AH11 AF36:AH36 AF74:AH74">
    <cfRule type="cellIs" dxfId="435" priority="14613" operator="equal">
      <formula>"N/A"</formula>
    </cfRule>
  </conditionalFormatting>
  <conditionalFormatting sqref="AF11:AH11 AH36 AF69:AH69 AF74:AH74">
    <cfRule type="cellIs" dxfId="434" priority="14611" operator="equal">
      <formula>"Skip"</formula>
    </cfRule>
  </conditionalFormatting>
  <conditionalFormatting sqref="AF11:AH11 AH36 AF74:AH74">
    <cfRule type="cellIs" dxfId="433" priority="14612" operator="equal">
      <formula>"NG"</formula>
    </cfRule>
  </conditionalFormatting>
  <conditionalFormatting sqref="AF11:AH11 AH36 AG69:AH69 AF74:AH74">
    <cfRule type="cellIs" dxfId="432" priority="14614" operator="equal">
      <formula>"OK"</formula>
    </cfRule>
  </conditionalFormatting>
  <conditionalFormatting sqref="AF31:AH31">
    <cfRule type="cellIs" dxfId="431" priority="11077" operator="equal">
      <formula>"NG"</formula>
    </cfRule>
    <cfRule type="cellIs" dxfId="430" priority="11076" operator="equal">
      <formula>"Skip"</formula>
    </cfRule>
    <cfRule type="cellIs" dxfId="429" priority="11079" operator="equal">
      <formula>"OK"</formula>
    </cfRule>
    <cfRule type="cellIs" dxfId="428" priority="11078" operator="equal">
      <formula>"N/A"</formula>
    </cfRule>
  </conditionalFormatting>
  <conditionalFormatting sqref="AF66:AH66">
    <cfRule type="cellIs" dxfId="427" priority="14610" operator="equal">
      <formula>"OK"</formula>
    </cfRule>
    <cfRule type="cellIs" dxfId="426" priority="14609" operator="equal">
      <formula>"N/A"</formula>
    </cfRule>
    <cfRule type="cellIs" dxfId="425" priority="14608" operator="equal">
      <formula>"NG"</formula>
    </cfRule>
    <cfRule type="cellIs" dxfId="424" priority="14607" operator="equal">
      <formula>"Skip"</formula>
    </cfRule>
  </conditionalFormatting>
  <conditionalFormatting sqref="AF69:AH69">
    <cfRule type="cellIs" dxfId="423" priority="6127" operator="equal">
      <formula>"N/A"</formula>
    </cfRule>
    <cfRule type="cellIs" dxfId="422" priority="9854" operator="equal">
      <formula>"NG"</formula>
    </cfRule>
  </conditionalFormatting>
  <conditionalFormatting sqref="AG5">
    <cfRule type="cellIs" dxfId="421" priority="1321" operator="equal">
      <formula>"N/A"</formula>
    </cfRule>
    <cfRule type="cellIs" dxfId="420" priority="1322" operator="equal">
      <formula>"OK"</formula>
    </cfRule>
  </conditionalFormatting>
  <conditionalFormatting sqref="AG7:AG10">
    <cfRule type="cellIs" dxfId="419" priority="1427" operator="equal">
      <formula>"OK"</formula>
    </cfRule>
    <cfRule type="cellIs" dxfId="418" priority="1426" operator="equal">
      <formula>"N/A"</formula>
    </cfRule>
  </conditionalFormatting>
  <conditionalFormatting sqref="AG12:AG30">
    <cfRule type="cellIs" dxfId="417" priority="89" operator="equal">
      <formula>"N/A"</formula>
    </cfRule>
    <cfRule type="cellIs" dxfId="416" priority="88" operator="equal">
      <formula>"OK"</formula>
    </cfRule>
  </conditionalFormatting>
  <conditionalFormatting sqref="AG22:AG24">
    <cfRule type="cellIs" dxfId="415" priority="113" operator="equal">
      <formula>"NG"</formula>
    </cfRule>
    <cfRule type="cellIs" dxfId="414" priority="112" operator="equal">
      <formula>"Skip"</formula>
    </cfRule>
  </conditionalFormatting>
  <conditionalFormatting sqref="AG26:AG27">
    <cfRule type="cellIs" dxfId="413" priority="111" operator="equal">
      <formula>"Skip"</formula>
    </cfRule>
    <cfRule type="cellIs" dxfId="412" priority="110" operator="equal">
      <formula>"NG"</formula>
    </cfRule>
  </conditionalFormatting>
  <conditionalFormatting sqref="AG37:AG39">
    <cfRule type="cellIs" dxfId="411" priority="2162" operator="equal">
      <formula>"NG"</formula>
    </cfRule>
    <cfRule type="cellIs" dxfId="410" priority="2161" operator="equal">
      <formula>"Skip"</formula>
    </cfRule>
  </conditionalFormatting>
  <conditionalFormatting sqref="AG41:AG53">
    <cfRule type="cellIs" dxfId="409" priority="10" operator="equal">
      <formula>"NG"</formula>
    </cfRule>
  </conditionalFormatting>
  <conditionalFormatting sqref="AG41:AG64">
    <cfRule type="cellIs" dxfId="408" priority="9" operator="equal">
      <formula>"Skip"</formula>
    </cfRule>
  </conditionalFormatting>
  <conditionalFormatting sqref="AG55:AG64">
    <cfRule type="cellIs" dxfId="407" priority="2558" operator="equal">
      <formula>"NG"</formula>
    </cfRule>
  </conditionalFormatting>
  <conditionalFormatting sqref="AG75:AG78">
    <cfRule type="cellIs" dxfId="406" priority="3397" operator="equal">
      <formula>"N/A"</formula>
    </cfRule>
    <cfRule type="cellIs" dxfId="405" priority="3398" operator="equal">
      <formula>"OK"</formula>
    </cfRule>
  </conditionalFormatting>
  <conditionalFormatting sqref="AH5">
    <cfRule type="expression" dxfId="404" priority="1313">
      <formula>#REF!="N/A"</formula>
    </cfRule>
  </conditionalFormatting>
  <conditionalFormatting sqref="AH7:AH10">
    <cfRule type="expression" dxfId="403" priority="1418">
      <formula>#REF!="N/A"</formula>
    </cfRule>
  </conditionalFormatting>
  <conditionalFormatting sqref="AH12:AH15">
    <cfRule type="expression" dxfId="402" priority="929">
      <formula>#REF!="N/A"</formula>
    </cfRule>
  </conditionalFormatting>
  <conditionalFormatting sqref="AH22:AH25">
    <cfRule type="expression" dxfId="401" priority="213">
      <formula>#REF!="N/A"</formula>
    </cfRule>
  </conditionalFormatting>
  <conditionalFormatting sqref="AH39:AH47">
    <cfRule type="expression" dxfId="400" priority="2194">
      <formula>#REF!="N/A"</formula>
    </cfRule>
  </conditionalFormatting>
  <conditionalFormatting sqref="AH75:AJ78">
    <cfRule type="expression" dxfId="399" priority="4943">
      <formula>#REF!="N/A"</formula>
    </cfRule>
  </conditionalFormatting>
  <conditionalFormatting sqref="AI20:AJ20">
    <cfRule type="expression" dxfId="398" priority="5348">
      <formula>#REF!="N/A"</formula>
    </cfRule>
  </conditionalFormatting>
  <conditionalFormatting sqref="AJ5">
    <cfRule type="expression" dxfId="397" priority="1308">
      <formula>#REF!="N/A"</formula>
    </cfRule>
    <cfRule type="cellIs" dxfId="396" priority="1306" operator="equal">
      <formula>"N/A"</formula>
    </cfRule>
    <cfRule type="cellIs" dxfId="395" priority="1307" operator="equal">
      <formula>"OK"</formula>
    </cfRule>
  </conditionalFormatting>
  <conditionalFormatting sqref="AJ7:AJ10">
    <cfRule type="cellIs" dxfId="394" priority="1366" operator="equal">
      <formula>"N/A"</formula>
    </cfRule>
    <cfRule type="expression" dxfId="393" priority="1368">
      <formula>#REF!="N/A"</formula>
    </cfRule>
    <cfRule type="cellIs" dxfId="392" priority="1367" operator="equal">
      <formula>"OK"</formula>
    </cfRule>
  </conditionalFormatting>
  <conditionalFormatting sqref="AJ18:AJ19">
    <cfRule type="expression" dxfId="391" priority="341">
      <formula>#REF!="N/A"</formula>
    </cfRule>
  </conditionalFormatting>
  <conditionalFormatting sqref="AJ21">
    <cfRule type="expression" dxfId="390" priority="5785">
      <formula>#REF!="N/A"</formula>
    </cfRule>
  </conditionalFormatting>
  <conditionalFormatting sqref="AJ22:AJ23">
    <cfRule type="expression" dxfId="389" priority="201">
      <formula>#REF!="N/A"</formula>
    </cfRule>
    <cfRule type="cellIs" dxfId="388" priority="197" operator="equal">
      <formula>"Skip"</formula>
    </cfRule>
    <cfRule type="cellIs" dxfId="387" priority="198" operator="equal">
      <formula>"NG"</formula>
    </cfRule>
  </conditionalFormatting>
  <conditionalFormatting sqref="AJ37:AJ43">
    <cfRule type="expression" dxfId="386" priority="2113">
      <formula>#REF!="N/A"</formula>
    </cfRule>
  </conditionalFormatting>
  <conditionalFormatting sqref="AJ44:AJ47">
    <cfRule type="cellIs" dxfId="385" priority="2102" operator="equal">
      <formula>"NG"</formula>
    </cfRule>
    <cfRule type="expression" dxfId="384" priority="2105">
      <formula>#REF!="N/A"</formula>
    </cfRule>
  </conditionalFormatting>
  <conditionalFormatting sqref="AJ44:AJ51">
    <cfRule type="cellIs" dxfId="383" priority="2101" operator="equal">
      <formula>"Skip"</formula>
    </cfRule>
  </conditionalFormatting>
  <conditionalFormatting sqref="AJ48:AJ51">
    <cfRule type="expression" dxfId="382" priority="4820">
      <formula>#REF!="N/A"</formula>
    </cfRule>
  </conditionalFormatting>
  <conditionalFormatting sqref="AJ52:AJ59">
    <cfRule type="expression" dxfId="381" priority="9216">
      <formula>#REF!="N/A"</formula>
    </cfRule>
  </conditionalFormatting>
  <conditionalFormatting sqref="AJ60:AJ61">
    <cfRule type="cellIs" dxfId="380" priority="5609" operator="equal">
      <formula>"Skip"</formula>
    </cfRule>
    <cfRule type="expression" dxfId="379" priority="5613">
      <formula>#REF!="N/A"</formula>
    </cfRule>
    <cfRule type="cellIs" dxfId="378" priority="5610" operator="equal">
      <formula>"NG"</formula>
    </cfRule>
  </conditionalFormatting>
  <conditionalFormatting sqref="AJ62:AJ63">
    <cfRule type="expression" dxfId="377" priority="9453">
      <formula>#REF!="N/A"</formula>
    </cfRule>
  </conditionalFormatting>
  <conditionalFormatting sqref="AJ64">
    <cfRule type="expression" dxfId="376" priority="4968">
      <formula>#REF!="N/A"</formula>
    </cfRule>
    <cfRule type="cellIs" dxfId="375" priority="2746" operator="equal">
      <formula>"NG"</formula>
    </cfRule>
  </conditionalFormatting>
  <conditionalFormatting sqref="AJ69">
    <cfRule type="cellIs" dxfId="374" priority="9788" operator="equal">
      <formula>"OK"</formula>
    </cfRule>
  </conditionalFormatting>
  <conditionalFormatting sqref="AJ75:AJ78">
    <cfRule type="cellIs" dxfId="373" priority="4941" operator="equal">
      <formula>"N/A"</formula>
    </cfRule>
    <cfRule type="cellIs" dxfId="372" priority="4942" operator="equal">
      <formula>"OK"</formula>
    </cfRule>
  </conditionalFormatting>
  <conditionalFormatting sqref="AJ76:AJ78">
    <cfRule type="cellIs" dxfId="371" priority="8955" operator="equal">
      <formula>"NG"</formula>
    </cfRule>
    <cfRule type="cellIs" dxfId="370" priority="8954" operator="equal">
      <formula>"Skip"</formula>
    </cfRule>
    <cfRule type="expression" dxfId="369" priority="8958">
      <formula>#REF!="N/A"</formula>
    </cfRule>
    <cfRule type="cellIs" dxfId="368" priority="8957" operator="equal">
      <formula>"OK"</formula>
    </cfRule>
    <cfRule type="cellIs" dxfId="367" priority="8956" operator="equal">
      <formula>"N/A"</formula>
    </cfRule>
  </conditionalFormatting>
  <conditionalFormatting sqref="AJ5:AK10">
    <cfRule type="cellIs" dxfId="366" priority="1305" operator="equal">
      <formula>"NG"</formula>
    </cfRule>
    <cfRule type="cellIs" dxfId="365" priority="1304" operator="equal">
      <formula>"Skip"</formula>
    </cfRule>
  </conditionalFormatting>
  <conditionalFormatting sqref="AJ6:AK6">
    <cfRule type="cellIs" dxfId="364" priority="9614" operator="equal">
      <formula>"OK"</formula>
    </cfRule>
    <cfRule type="cellIs" dxfId="363" priority="9613" operator="equal">
      <formula>"N/A"</formula>
    </cfRule>
  </conditionalFormatting>
  <conditionalFormatting sqref="AJ21:AK21">
    <cfRule type="cellIs" dxfId="362" priority="5781" operator="equal">
      <formula>"Skip"</formula>
    </cfRule>
    <cfRule type="cellIs" dxfId="361" priority="5782" operator="equal">
      <formula>"NG"</formula>
    </cfRule>
  </conditionalFormatting>
  <conditionalFormatting sqref="AJ24:AK30 T48:U65">
    <cfRule type="cellIs" dxfId="360" priority="2675" operator="equal">
      <formula>"Skip"</formula>
    </cfRule>
    <cfRule type="cellIs" dxfId="359" priority="2674" operator="equal">
      <formula>"NG"</formula>
    </cfRule>
  </conditionalFormatting>
  <conditionalFormatting sqref="AJ37:AK43">
    <cfRule type="cellIs" dxfId="358" priority="2110" operator="equal">
      <formula>"NG"</formula>
    </cfRule>
    <cfRule type="cellIs" dxfId="357" priority="2109" operator="equal">
      <formula>"Skip"</formula>
    </cfRule>
  </conditionalFormatting>
  <conditionalFormatting sqref="AJ48:AK59">
    <cfRule type="cellIs" dxfId="356" priority="2554" operator="equal">
      <formula>"NG"</formula>
    </cfRule>
  </conditionalFormatting>
  <conditionalFormatting sqref="AJ52:AK59">
    <cfRule type="cellIs" dxfId="355" priority="9212" operator="equal">
      <formula>"Skip"</formula>
    </cfRule>
  </conditionalFormatting>
  <conditionalFormatting sqref="AJ62:AK63">
    <cfRule type="cellIs" dxfId="354" priority="8838" operator="equal">
      <formula>"NG"</formula>
    </cfRule>
  </conditionalFormatting>
  <conditionalFormatting sqref="AJ75:AK78">
    <cfRule type="cellIs" dxfId="353" priority="3386" operator="equal">
      <formula>"NG"</formula>
    </cfRule>
    <cfRule type="cellIs" dxfId="352" priority="3385" operator="equal">
      <formula>"Skip"</formula>
    </cfRule>
  </conditionalFormatting>
  <conditionalFormatting sqref="AJ11:AL11">
    <cfRule type="cellIs" dxfId="351" priority="9774" operator="equal">
      <formula>"N/A"</formula>
    </cfRule>
    <cfRule type="cellIs" dxfId="350" priority="9772" operator="equal">
      <formula>"Skip"</formula>
    </cfRule>
    <cfRule type="cellIs" dxfId="349" priority="9773" operator="equal">
      <formula>"NG"</formula>
    </cfRule>
    <cfRule type="cellIs" dxfId="348" priority="9775" operator="equal">
      <formula>"OK"</formula>
    </cfRule>
  </conditionalFormatting>
  <conditionalFormatting sqref="AJ31:AL31">
    <cfRule type="cellIs" dxfId="347" priority="8864" operator="equal">
      <formula>"OK"</formula>
    </cfRule>
    <cfRule type="cellIs" dxfId="346" priority="8863" operator="equal">
      <formula>"N/A"</formula>
    </cfRule>
    <cfRule type="cellIs" dxfId="345" priority="8861" operator="equal">
      <formula>"Skip"</formula>
    </cfRule>
    <cfRule type="cellIs" dxfId="344" priority="8862" operator="equal">
      <formula>"NG"</formula>
    </cfRule>
  </conditionalFormatting>
  <conditionalFormatting sqref="AJ36:AL36">
    <cfRule type="cellIs" dxfId="343" priority="9767" operator="equal">
      <formula>"OK"</formula>
    </cfRule>
    <cfRule type="cellIs" dxfId="342" priority="9764" operator="equal">
      <formula>"Skip"</formula>
    </cfRule>
    <cfRule type="cellIs" dxfId="341" priority="9765" operator="equal">
      <formula>"NG"</formula>
    </cfRule>
    <cfRule type="cellIs" dxfId="340" priority="9766" operator="equal">
      <formula>"N/A"</formula>
    </cfRule>
  </conditionalFormatting>
  <conditionalFormatting sqref="AJ66:AL66">
    <cfRule type="cellIs" dxfId="339" priority="9760" operator="equal">
      <formula>"Skip"</formula>
    </cfRule>
    <cfRule type="cellIs" dxfId="338" priority="9761" operator="equal">
      <formula>"NG"</formula>
    </cfRule>
    <cfRule type="cellIs" dxfId="337" priority="9762" operator="equal">
      <formula>"N/A"</formula>
    </cfRule>
    <cfRule type="cellIs" dxfId="336" priority="9763" operator="equal">
      <formula>"OK"</formula>
    </cfRule>
  </conditionalFormatting>
  <conditionalFormatting sqref="AJ69:AL69">
    <cfRule type="cellIs" dxfId="335" priority="9781" operator="equal">
      <formula>"Skip"</formula>
    </cfRule>
    <cfRule type="cellIs" dxfId="334" priority="9782" operator="equal">
      <formula>"NG"</formula>
    </cfRule>
    <cfRule type="cellIs" dxfId="333" priority="9783" operator="equal">
      <formula>"N/A"</formula>
    </cfRule>
  </conditionalFormatting>
  <conditionalFormatting sqref="AJ74:AL74">
    <cfRule type="cellIs" dxfId="332" priority="9756" operator="equal">
      <formula>"Skip"</formula>
    </cfRule>
    <cfRule type="cellIs" dxfId="331" priority="9757" operator="equal">
      <formula>"NG"</formula>
    </cfRule>
    <cfRule type="cellIs" dxfId="330" priority="9758" operator="equal">
      <formula>"N/A"</formula>
    </cfRule>
    <cfRule type="cellIs" dxfId="329" priority="9759" operator="equal">
      <formula>"OK"</formula>
    </cfRule>
  </conditionalFormatting>
  <conditionalFormatting sqref="AK5">
    <cfRule type="cellIs" dxfId="328" priority="1311" operator="equal">
      <formula>"N/A"</formula>
    </cfRule>
    <cfRule type="cellIs" dxfId="327" priority="1312" operator="equal">
      <formula>"OK"</formula>
    </cfRule>
  </conditionalFormatting>
  <conditionalFormatting sqref="AK7:AK10">
    <cfRule type="cellIs" dxfId="326" priority="1371" operator="equal">
      <formula>"N/A"</formula>
    </cfRule>
    <cfRule type="cellIs" dxfId="325" priority="1372" operator="equal">
      <formula>"OK"</formula>
    </cfRule>
  </conditionalFormatting>
  <conditionalFormatting sqref="AK20:AK24">
    <cfRule type="cellIs" dxfId="324" priority="115" operator="equal">
      <formula>"NG"</formula>
    </cfRule>
    <cfRule type="cellIs" dxfId="323" priority="114" operator="equal">
      <formula>"Skip"</formula>
    </cfRule>
  </conditionalFormatting>
  <conditionalFormatting sqref="AK41:AK64">
    <cfRule type="cellIs" dxfId="322" priority="5" operator="equal">
      <formula>"Skip"</formula>
    </cfRule>
    <cfRule type="cellIs" dxfId="321" priority="6" operator="equal">
      <formula>"NG"</formula>
    </cfRule>
  </conditionalFormatting>
  <conditionalFormatting sqref="AK75:AK78">
    <cfRule type="cellIs" dxfId="320" priority="3388" operator="equal">
      <formula>"OK"</formula>
    </cfRule>
    <cfRule type="cellIs" dxfId="319" priority="3387" operator="equal">
      <formula>"N/A"</formula>
    </cfRule>
  </conditionalFormatting>
  <conditionalFormatting sqref="AK69:AL69">
    <cfRule type="cellIs" dxfId="318" priority="9784" operator="equal">
      <formula>"OK"</formula>
    </cfRule>
  </conditionalFormatting>
  <conditionalFormatting sqref="AL5">
    <cfRule type="expression" dxfId="317" priority="1303">
      <formula>#REF!="N/A"</formula>
    </cfRule>
  </conditionalFormatting>
  <conditionalFormatting sqref="AL7:AL10">
    <cfRule type="expression" dxfId="316" priority="1363">
      <formula>#REF!="N/A"</formula>
    </cfRule>
  </conditionalFormatting>
  <conditionalFormatting sqref="AL12:AL15">
    <cfRule type="expression" dxfId="315" priority="886">
      <formula>#REF!="N/A"</formula>
    </cfRule>
  </conditionalFormatting>
  <conditionalFormatting sqref="AL22:AL24">
    <cfRule type="expression" dxfId="314" priority="195">
      <formula>#REF!="N/A"</formula>
    </cfRule>
  </conditionalFormatting>
  <conditionalFormatting sqref="AL26:AL30">
    <cfRule type="expression" dxfId="313" priority="1151">
      <formula>#REF!="N/A"</formula>
    </cfRule>
  </conditionalFormatting>
  <conditionalFormatting sqref="AL39:AL47">
    <cfRule type="expression" dxfId="312" priority="2147">
      <formula>#REF!="N/A"</formula>
    </cfRule>
  </conditionalFormatting>
  <dataValidations count="1">
    <dataValidation type="list" allowBlank="1" showInputMessage="1" showErrorMessage="1" sqref="L11 L74 L31 L36 AB36 P11 P31 P36 P6 AB66 N66 AD69 AB69 X11 X31 X36 X6 AL74 AH69 AH31 L6 L66 N69 X66 AD36 P66 AJ11 Z36 AD31 AJ74 AJ31 R66 L69 AJ36 AL69 AL31 AJ6 AJ66 AD66 R69 R31 R11 R36 AL66 AB11 AB74 AB31 AH74 AJ69 Z66 Z69 Z31 Z11 N36 N31 AL11 AL36 P74 AF11 AF74 AF31 AF36 AF6 AF66 AH11 X74 AH36 AH66 AB6 T11 T31 T36 T6 T66 T69 T74 V66 V69 V31 V11 V36 X69 P69 AF69 Q5:Q78 M5:M78 U5:U78 Y5:Y78 AG5:AG78 AK5:AK78 AC5:AC78" xr:uid="{00000000-0002-0000-0300-000000000000}">
      <formula1>"OK,NG,SKIP,N/A,미실시,-"</formula1>
    </dataValidation>
  </dataValidations>
  <pageMargins left="0.7" right="0.7" top="0.75" bottom="0.75" header="0.3" footer="0.3"/>
  <pageSetup paperSize="9" orientation="portrait" horizontalDpi="300" verticalDpi="300" r:id="rId1"/>
  <ignoredErrors>
    <ignoredError sqref="B7 B74"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H62"/>
  <sheetViews>
    <sheetView zoomScale="85" zoomScaleNormal="85" workbookViewId="0">
      <pane ySplit="4" topLeftCell="A5" activePane="bottomLeft" state="frozen"/>
      <selection activeCell="H33" sqref="H33"/>
      <selection pane="bottomLeft" activeCell="H50" sqref="H50"/>
    </sheetView>
  </sheetViews>
  <sheetFormatPr defaultColWidth="9" defaultRowHeight="16.5" outlineLevelCol="1"/>
  <cols>
    <col min="1" max="1" width="1.25" style="224" customWidth="1"/>
    <col min="2" max="2" width="4.875" style="243" bestFit="1" customWidth="1"/>
    <col min="3" max="3" width="14.375" style="243" bestFit="1" customWidth="1"/>
    <col min="4" max="4" width="57.75" style="224" customWidth="1"/>
    <col min="5" max="5" width="78.625" style="244" customWidth="1"/>
    <col min="6" max="6" width="25.75" style="244" customWidth="1" outlineLevel="1"/>
    <col min="7" max="7" width="8.625" style="230" customWidth="1" outlineLevel="1"/>
    <col min="8" max="8" width="9" style="230" customWidth="1" outlineLevel="1"/>
    <col min="9" max="9" width="11.25" style="224" customWidth="1" outlineLevel="1"/>
    <col min="10" max="10" width="8.125" style="224" customWidth="1" outlineLevel="1"/>
    <col min="11" max="11" width="7.75" style="244" customWidth="1" outlineLevel="1"/>
    <col min="12" max="12" width="2.625" style="224" customWidth="1"/>
    <col min="13" max="13" width="10.75" style="167" customWidth="1"/>
    <col min="14" max="14" width="8.875" style="166" customWidth="1"/>
    <col min="15" max="15" width="7.125" style="167" customWidth="1"/>
    <col min="16" max="16" width="17.375" style="167" customWidth="1"/>
    <col min="17" max="17" width="8.875" style="166" customWidth="1"/>
    <col min="18" max="18" width="7.125" style="167" customWidth="1"/>
    <col min="19" max="19" width="17.375" style="167" customWidth="1"/>
    <col min="20" max="20" width="8.875" style="166" customWidth="1"/>
    <col min="21" max="21" width="7.125" style="167" customWidth="1"/>
    <col min="22" max="22" width="17.375" style="167" customWidth="1"/>
    <col min="23" max="23" width="8.875" style="166" customWidth="1"/>
    <col min="24" max="24" width="7.125" style="167" customWidth="1"/>
    <col min="25" max="25" width="17.375" style="167" customWidth="1"/>
    <col min="26" max="26" width="8.875" style="166" customWidth="1"/>
    <col min="27" max="27" width="7.125" style="167" customWidth="1"/>
    <col min="28" max="28" width="17.375" style="167" customWidth="1"/>
    <col min="29" max="29" width="8.875" style="166" customWidth="1"/>
    <col min="30" max="30" width="7.125" style="167" customWidth="1"/>
    <col min="31" max="31" width="17.375" style="167" customWidth="1"/>
    <col min="32" max="32" width="8.875" style="166" customWidth="1"/>
    <col min="33" max="33" width="7.125" style="167" customWidth="1"/>
    <col min="34" max="34" width="17.375" style="167" customWidth="1"/>
    <col min="35" max="16384" width="9" style="224"/>
  </cols>
  <sheetData>
    <row r="2" spans="1:34" s="217" customFormat="1" ht="33.75" customHeight="1">
      <c r="A2" s="213" t="s">
        <v>80</v>
      </c>
      <c r="B2" s="214"/>
      <c r="C2" s="214"/>
      <c r="D2" s="215"/>
      <c r="E2" s="215"/>
      <c r="F2" s="215"/>
      <c r="G2" s="215"/>
      <c r="H2" s="216"/>
      <c r="K2" s="218"/>
      <c r="M2" s="167"/>
      <c r="N2" s="166"/>
      <c r="O2" s="167"/>
      <c r="P2" s="167"/>
      <c r="Q2" s="166"/>
      <c r="R2" s="167"/>
      <c r="S2" s="167"/>
      <c r="T2" s="166"/>
      <c r="U2" s="167"/>
      <c r="V2" s="167"/>
      <c r="W2" s="166"/>
      <c r="X2" s="167"/>
      <c r="Y2" s="167"/>
      <c r="Z2" s="166"/>
      <c r="AA2" s="167"/>
      <c r="AB2" s="167"/>
      <c r="AC2" s="166"/>
      <c r="AD2" s="167"/>
      <c r="AE2" s="167"/>
      <c r="AF2" s="166"/>
      <c r="AG2" s="167"/>
      <c r="AH2" s="167"/>
    </row>
    <row r="3" spans="1:34" s="219" customFormat="1" ht="16.5" customHeight="1">
      <c r="B3" s="482" t="s">
        <v>2</v>
      </c>
      <c r="C3" s="483" t="s">
        <v>118</v>
      </c>
      <c r="D3" s="482" t="s">
        <v>7</v>
      </c>
      <c r="E3" s="482" t="s">
        <v>6</v>
      </c>
      <c r="F3" s="482" t="s">
        <v>1</v>
      </c>
      <c r="G3" s="482" t="s">
        <v>0</v>
      </c>
      <c r="H3" s="482" t="s">
        <v>14</v>
      </c>
      <c r="I3" s="482" t="s">
        <v>11</v>
      </c>
      <c r="J3" s="482" t="s">
        <v>23</v>
      </c>
      <c r="K3" s="482" t="s">
        <v>134</v>
      </c>
      <c r="L3" s="220"/>
      <c r="M3" s="485" t="s">
        <v>42</v>
      </c>
      <c r="N3" s="367" t="s">
        <v>178</v>
      </c>
      <c r="O3" s="368"/>
      <c r="P3" s="369"/>
      <c r="Q3" s="367" t="s">
        <v>179</v>
      </c>
      <c r="R3" s="368"/>
      <c r="S3" s="369"/>
      <c r="T3" s="367" t="s">
        <v>180</v>
      </c>
      <c r="U3" s="368"/>
      <c r="V3" s="369"/>
      <c r="W3" s="367" t="s">
        <v>181</v>
      </c>
      <c r="X3" s="368"/>
      <c r="Y3" s="369"/>
      <c r="Z3" s="367" t="s">
        <v>182</v>
      </c>
      <c r="AA3" s="368"/>
      <c r="AB3" s="369"/>
      <c r="AC3" s="367" t="s">
        <v>183</v>
      </c>
      <c r="AD3" s="368"/>
      <c r="AE3" s="369"/>
      <c r="AF3" s="367" t="s">
        <v>184</v>
      </c>
      <c r="AG3" s="368"/>
      <c r="AH3" s="369"/>
    </row>
    <row r="4" spans="1:34" s="221" customFormat="1" ht="24.75" customHeight="1">
      <c r="B4" s="482"/>
      <c r="C4" s="484"/>
      <c r="D4" s="482"/>
      <c r="E4" s="482"/>
      <c r="F4" s="482"/>
      <c r="G4" s="482"/>
      <c r="H4" s="482"/>
      <c r="I4" s="482"/>
      <c r="J4" s="482"/>
      <c r="K4" s="482"/>
      <c r="L4" s="220"/>
      <c r="M4" s="486"/>
      <c r="N4" s="222" t="s">
        <v>26</v>
      </c>
      <c r="O4" s="223" t="s">
        <v>27</v>
      </c>
      <c r="P4" s="223" t="s">
        <v>3</v>
      </c>
      <c r="Q4" s="222" t="s">
        <v>26</v>
      </c>
      <c r="R4" s="223" t="s">
        <v>27</v>
      </c>
      <c r="S4" s="223" t="s">
        <v>3</v>
      </c>
      <c r="T4" s="222" t="s">
        <v>26</v>
      </c>
      <c r="U4" s="223" t="s">
        <v>27</v>
      </c>
      <c r="V4" s="223" t="s">
        <v>3</v>
      </c>
      <c r="W4" s="222" t="s">
        <v>26</v>
      </c>
      <c r="X4" s="223" t="s">
        <v>27</v>
      </c>
      <c r="Y4" s="223" t="s">
        <v>3</v>
      </c>
      <c r="Z4" s="222" t="s">
        <v>26</v>
      </c>
      <c r="AA4" s="223" t="s">
        <v>27</v>
      </c>
      <c r="AB4" s="223" t="s">
        <v>3</v>
      </c>
      <c r="AC4" s="222" t="s">
        <v>26</v>
      </c>
      <c r="AD4" s="223" t="s">
        <v>27</v>
      </c>
      <c r="AE4" s="223" t="s">
        <v>3</v>
      </c>
      <c r="AF4" s="222" t="s">
        <v>26</v>
      </c>
      <c r="AG4" s="223" t="s">
        <v>27</v>
      </c>
      <c r="AH4" s="223" t="s">
        <v>3</v>
      </c>
    </row>
    <row r="5" spans="1:34" ht="18" customHeight="1">
      <c r="B5" s="225" t="str">
        <f>IF(OR(O5="-",O5="N/A"),"",COUNTA(O$5:O5)-(COUNTIF((O$5:O5),"-")+COUNTIF((O$5:O5),"N/A"))+COUNTIF((O$5:O5),""))</f>
        <v/>
      </c>
      <c r="C5" s="225" t="str">
        <f>IF($B5="","",CONCATENATE("TC-EIF-SCN-",$B5))</f>
        <v/>
      </c>
      <c r="D5" s="226" t="s">
        <v>55</v>
      </c>
      <c r="E5" s="227"/>
      <c r="F5" s="227"/>
      <c r="G5" s="228"/>
      <c r="H5" s="228"/>
      <c r="I5" s="228"/>
      <c r="J5" s="228"/>
      <c r="K5" s="227"/>
      <c r="L5" s="229"/>
      <c r="M5" s="170"/>
      <c r="N5" s="160"/>
      <c r="O5" s="161" t="s">
        <v>50</v>
      </c>
      <c r="P5" s="170"/>
      <c r="Q5" s="160"/>
      <c r="R5" s="161" t="s">
        <v>43</v>
      </c>
      <c r="S5" s="170"/>
      <c r="T5" s="275"/>
      <c r="U5" s="276" t="s">
        <v>43</v>
      </c>
      <c r="V5" s="170"/>
      <c r="W5" s="160"/>
      <c r="X5" s="161" t="s">
        <v>43</v>
      </c>
      <c r="Y5" s="170"/>
      <c r="Z5" s="160"/>
      <c r="AA5" s="161" t="s">
        <v>43</v>
      </c>
      <c r="AB5" s="170"/>
      <c r="AC5" s="160"/>
      <c r="AD5" s="161" t="s">
        <v>43</v>
      </c>
      <c r="AE5" s="170"/>
      <c r="AF5" s="160"/>
      <c r="AG5" s="161" t="s">
        <v>43</v>
      </c>
      <c r="AH5" s="170"/>
    </row>
    <row r="6" spans="1:34" ht="18" customHeight="1">
      <c r="B6" s="225" t="str">
        <f>IF(OR(O6="-",O6="N/A"),"",COUNTA(O$5:O6)-(COUNTIF((O$5:O6),"-")+COUNTIF((O$5:O6),"N/A"))+COUNTIF((O$5:O6),""))</f>
        <v/>
      </c>
      <c r="C6" s="225" t="str">
        <f t="shared" ref="C6:C33" si="0">IF($B6="","",CONCATENATE("TC-EIF-SCN-",$B6))</f>
        <v/>
      </c>
      <c r="D6" s="237" t="s">
        <v>259</v>
      </c>
      <c r="E6" s="231"/>
      <c r="F6" s="231"/>
      <c r="G6" s="225"/>
      <c r="H6" s="225"/>
      <c r="I6" s="225"/>
      <c r="J6" s="225"/>
      <c r="K6" s="231"/>
      <c r="L6" s="229"/>
      <c r="M6" s="170"/>
      <c r="N6" s="160"/>
      <c r="O6" s="161" t="s">
        <v>43</v>
      </c>
      <c r="P6" s="170"/>
      <c r="Q6" s="160"/>
      <c r="R6" s="161" t="s">
        <v>43</v>
      </c>
      <c r="S6" s="170"/>
      <c r="T6" s="275"/>
      <c r="U6" s="276" t="s">
        <v>43</v>
      </c>
      <c r="V6" s="170"/>
      <c r="W6" s="160"/>
      <c r="X6" s="161" t="s">
        <v>43</v>
      </c>
      <c r="Y6" s="170"/>
      <c r="Z6" s="160"/>
      <c r="AA6" s="161" t="s">
        <v>43</v>
      </c>
      <c r="AB6" s="170"/>
      <c r="AC6" s="160"/>
      <c r="AD6" s="161" t="s">
        <v>43</v>
      </c>
      <c r="AE6" s="170"/>
      <c r="AF6" s="160"/>
      <c r="AG6" s="161" t="s">
        <v>43</v>
      </c>
      <c r="AH6" s="170"/>
    </row>
    <row r="7" spans="1:34" ht="30" customHeight="1">
      <c r="B7" s="225">
        <v>1</v>
      </c>
      <c r="C7" s="225" t="str">
        <f t="shared" si="0"/>
        <v>TC-EIF-SCN-1</v>
      </c>
      <c r="D7" s="238" t="s">
        <v>304</v>
      </c>
      <c r="E7" s="232" t="s">
        <v>269</v>
      </c>
      <c r="F7" s="239" t="s">
        <v>146</v>
      </c>
      <c r="G7" s="235" t="s">
        <v>8</v>
      </c>
      <c r="H7" s="235" t="s">
        <v>128</v>
      </c>
      <c r="I7" s="233" t="s">
        <v>12</v>
      </c>
      <c r="J7" s="235" t="s">
        <v>24</v>
      </c>
      <c r="K7" s="239"/>
      <c r="L7" s="236"/>
      <c r="M7" s="168"/>
      <c r="N7" s="158"/>
      <c r="O7" s="159" t="s">
        <v>177</v>
      </c>
      <c r="P7" s="168"/>
      <c r="Q7" s="158"/>
      <c r="R7" s="159" t="s">
        <v>177</v>
      </c>
      <c r="S7" s="168"/>
      <c r="T7" s="158"/>
      <c r="U7" s="159" t="s">
        <v>177</v>
      </c>
      <c r="V7" s="168"/>
      <c r="W7" s="158"/>
      <c r="X7" s="159" t="s">
        <v>177</v>
      </c>
      <c r="Y7" s="168"/>
      <c r="Z7" s="158"/>
      <c r="AA7" s="159" t="s">
        <v>177</v>
      </c>
      <c r="AB7" s="168"/>
      <c r="AC7" s="158"/>
      <c r="AD7" s="159" t="s">
        <v>177</v>
      </c>
      <c r="AE7" s="168"/>
      <c r="AF7" s="158"/>
      <c r="AG7" s="159" t="s">
        <v>177</v>
      </c>
      <c r="AH7" s="168"/>
    </row>
    <row r="8" spans="1:34" ht="30" customHeight="1">
      <c r="B8" s="225">
        <f>B7+1</f>
        <v>2</v>
      </c>
      <c r="C8" s="225" t="str">
        <f t="shared" si="0"/>
        <v>TC-EIF-SCN-2</v>
      </c>
      <c r="D8" s="238" t="s">
        <v>305</v>
      </c>
      <c r="E8" s="232" t="s">
        <v>270</v>
      </c>
      <c r="F8" s="239" t="s">
        <v>146</v>
      </c>
      <c r="G8" s="235" t="s">
        <v>8</v>
      </c>
      <c r="H8" s="235" t="s">
        <v>43</v>
      </c>
      <c r="I8" s="233" t="s">
        <v>12</v>
      </c>
      <c r="J8" s="235" t="s">
        <v>24</v>
      </c>
      <c r="K8" s="239"/>
      <c r="L8" s="236"/>
      <c r="M8" s="168"/>
      <c r="N8" s="158"/>
      <c r="O8" s="159" t="s">
        <v>177</v>
      </c>
      <c r="P8" s="168"/>
      <c r="Q8" s="158"/>
      <c r="R8" s="159" t="s">
        <v>177</v>
      </c>
      <c r="S8" s="168"/>
      <c r="T8" s="158"/>
      <c r="U8" s="159" t="s">
        <v>177</v>
      </c>
      <c r="V8" s="168"/>
      <c r="W8" s="158"/>
      <c r="X8" s="159" t="s">
        <v>177</v>
      </c>
      <c r="Y8" s="168"/>
      <c r="Z8" s="158"/>
      <c r="AA8" s="159" t="s">
        <v>177</v>
      </c>
      <c r="AB8" s="168"/>
      <c r="AC8" s="158"/>
      <c r="AD8" s="159" t="s">
        <v>177</v>
      </c>
      <c r="AE8" s="168"/>
      <c r="AF8" s="158"/>
      <c r="AG8" s="159" t="s">
        <v>177</v>
      </c>
      <c r="AH8" s="168"/>
    </row>
    <row r="9" spans="1:34" ht="30" customHeight="1">
      <c r="B9" s="225">
        <f>B8+1</f>
        <v>3</v>
      </c>
      <c r="C9" s="225" t="str">
        <f t="shared" si="0"/>
        <v>TC-EIF-SCN-3</v>
      </c>
      <c r="D9" s="238" t="s">
        <v>306</v>
      </c>
      <c r="E9" s="232" t="s">
        <v>271</v>
      </c>
      <c r="F9" s="239" t="s">
        <v>272</v>
      </c>
      <c r="G9" s="235" t="s">
        <v>273</v>
      </c>
      <c r="H9" s="235" t="s">
        <v>136</v>
      </c>
      <c r="I9" s="233" t="s">
        <v>12</v>
      </c>
      <c r="J9" s="235" t="s">
        <v>24</v>
      </c>
      <c r="K9" s="239"/>
      <c r="L9" s="236"/>
      <c r="M9" s="168"/>
      <c r="N9" s="158"/>
      <c r="O9" s="159" t="s">
        <v>177</v>
      </c>
      <c r="P9" s="168"/>
      <c r="Q9" s="158"/>
      <c r="R9" s="159" t="s">
        <v>177</v>
      </c>
      <c r="S9" s="168"/>
      <c r="T9" s="158"/>
      <c r="U9" s="159" t="s">
        <v>177</v>
      </c>
      <c r="V9" s="168"/>
      <c r="W9" s="158"/>
      <c r="X9" s="159" t="s">
        <v>177</v>
      </c>
      <c r="Y9" s="168"/>
      <c r="Z9" s="158"/>
      <c r="AA9" s="159" t="s">
        <v>177</v>
      </c>
      <c r="AB9" s="168"/>
      <c r="AC9" s="158"/>
      <c r="AD9" s="159" t="s">
        <v>177</v>
      </c>
      <c r="AE9" s="168"/>
      <c r="AF9" s="158"/>
      <c r="AG9" s="159" t="s">
        <v>177</v>
      </c>
      <c r="AH9" s="168"/>
    </row>
    <row r="10" spans="1:34" ht="18" customHeight="1">
      <c r="B10" s="225" t="str">
        <f>IF(OR(O10="-",O10="N/A"),"",COUNTA(O$5:O10)-(COUNTIF((O$5:O10),"-")+COUNTIF((O$5:O10),"N/A"))+COUNTIF((O$5:O10),""))</f>
        <v/>
      </c>
      <c r="C10" s="225" t="str">
        <f>IF($B10="","",CONCATENATE("TC-EIF-SCN-",$B10))</f>
        <v/>
      </c>
      <c r="D10" s="237" t="s">
        <v>307</v>
      </c>
      <c r="E10" s="231"/>
      <c r="F10" s="231"/>
      <c r="G10" s="225"/>
      <c r="H10" s="225"/>
      <c r="I10" s="240"/>
      <c r="J10" s="240"/>
      <c r="K10" s="231"/>
      <c r="L10" s="229"/>
      <c r="M10" s="170"/>
      <c r="N10" s="160"/>
      <c r="O10" s="161" t="s">
        <v>43</v>
      </c>
      <c r="P10" s="170"/>
      <c r="Q10" s="160"/>
      <c r="R10" s="161" t="s">
        <v>43</v>
      </c>
      <c r="S10" s="170"/>
      <c r="T10" s="275"/>
      <c r="U10" s="276" t="s">
        <v>43</v>
      </c>
      <c r="V10" s="170"/>
      <c r="W10" s="160"/>
      <c r="X10" s="161" t="s">
        <v>43</v>
      </c>
      <c r="Y10" s="170"/>
      <c r="Z10" s="160"/>
      <c r="AA10" s="161" t="s">
        <v>43</v>
      </c>
      <c r="AB10" s="170"/>
      <c r="AC10" s="160"/>
      <c r="AD10" s="161" t="s">
        <v>43</v>
      </c>
      <c r="AE10" s="170"/>
      <c r="AF10" s="160"/>
      <c r="AG10" s="161" t="s">
        <v>43</v>
      </c>
      <c r="AH10" s="170"/>
    </row>
    <row r="11" spans="1:34" ht="30" customHeight="1">
      <c r="B11" s="225">
        <f>B9+1</f>
        <v>4</v>
      </c>
      <c r="C11" s="225" t="str">
        <f>IF($B11="","",CONCATENATE("TC-EIF-SCN-",$B11))</f>
        <v>TC-EIF-SCN-4</v>
      </c>
      <c r="D11" s="238" t="s">
        <v>308</v>
      </c>
      <c r="E11" s="232" t="s">
        <v>274</v>
      </c>
      <c r="F11" s="239" t="s">
        <v>275</v>
      </c>
      <c r="G11" s="235" t="s">
        <v>260</v>
      </c>
      <c r="H11" s="235" t="s">
        <v>43</v>
      </c>
      <c r="I11" s="233" t="s">
        <v>12</v>
      </c>
      <c r="J11" s="235" t="s">
        <v>24</v>
      </c>
      <c r="K11" s="239"/>
      <c r="L11" s="241"/>
      <c r="M11" s="168"/>
      <c r="N11" s="158"/>
      <c r="O11" s="159" t="s">
        <v>177</v>
      </c>
      <c r="P11" s="168"/>
      <c r="Q11" s="158"/>
      <c r="R11" s="159" t="s">
        <v>177</v>
      </c>
      <c r="S11" s="168"/>
      <c r="T11" s="158"/>
      <c r="U11" s="159" t="s">
        <v>177</v>
      </c>
      <c r="V11" s="168"/>
      <c r="W11" s="158"/>
      <c r="X11" s="159" t="s">
        <v>177</v>
      </c>
      <c r="Y11" s="168"/>
      <c r="Z11" s="158"/>
      <c r="AA11" s="159" t="s">
        <v>177</v>
      </c>
      <c r="AB11" s="168"/>
      <c r="AC11" s="158"/>
      <c r="AD11" s="159" t="s">
        <v>177</v>
      </c>
      <c r="AE11" s="168"/>
      <c r="AF11" s="158"/>
      <c r="AG11" s="159" t="s">
        <v>177</v>
      </c>
      <c r="AH11" s="168"/>
    </row>
    <row r="12" spans="1:34" ht="30" customHeight="1">
      <c r="B12" s="225">
        <f>B11+1</f>
        <v>5</v>
      </c>
      <c r="C12" s="225" t="str">
        <f>IF($B12="","",CONCATENATE("TC-EIF-SCN-",$B12))</f>
        <v>TC-EIF-SCN-5</v>
      </c>
      <c r="D12" s="238" t="s">
        <v>309</v>
      </c>
      <c r="E12" s="232" t="s">
        <v>17</v>
      </c>
      <c r="F12" s="239" t="s">
        <v>22</v>
      </c>
      <c r="G12" s="235" t="s">
        <v>18</v>
      </c>
      <c r="H12" s="235" t="s">
        <v>128</v>
      </c>
      <c r="I12" s="233" t="s">
        <v>12</v>
      </c>
      <c r="J12" s="235" t="s">
        <v>24</v>
      </c>
      <c r="K12" s="239"/>
      <c r="L12" s="241"/>
      <c r="M12" s="168"/>
      <c r="N12" s="158"/>
      <c r="O12" s="159" t="s">
        <v>177</v>
      </c>
      <c r="P12" s="168"/>
      <c r="Q12" s="158"/>
      <c r="R12" s="159" t="s">
        <v>177</v>
      </c>
      <c r="S12" s="168"/>
      <c r="T12" s="158"/>
      <c r="U12" s="159" t="s">
        <v>177</v>
      </c>
      <c r="V12" s="168"/>
      <c r="W12" s="158"/>
      <c r="X12" s="159" t="s">
        <v>177</v>
      </c>
      <c r="Y12" s="168"/>
      <c r="Z12" s="158"/>
      <c r="AA12" s="159" t="s">
        <v>177</v>
      </c>
      <c r="AB12" s="168"/>
      <c r="AC12" s="158"/>
      <c r="AD12" s="159" t="s">
        <v>177</v>
      </c>
      <c r="AE12" s="168"/>
      <c r="AF12" s="158"/>
      <c r="AG12" s="159" t="s">
        <v>177</v>
      </c>
      <c r="AH12" s="168"/>
    </row>
    <row r="13" spans="1:34" ht="30" customHeight="1">
      <c r="B13" s="225">
        <f>B12+1</f>
        <v>6</v>
      </c>
      <c r="C13" s="225" t="str">
        <f>IF($B13="","",CONCATENATE("TC-EIF-SCN-",$B13))</f>
        <v>TC-EIF-SCN-6</v>
      </c>
      <c r="D13" s="238" t="s">
        <v>310</v>
      </c>
      <c r="E13" s="232" t="s">
        <v>21</v>
      </c>
      <c r="F13" s="239" t="s">
        <v>19</v>
      </c>
      <c r="G13" s="235" t="s">
        <v>20</v>
      </c>
      <c r="H13" s="235" t="s">
        <v>136</v>
      </c>
      <c r="I13" s="233" t="s">
        <v>12</v>
      </c>
      <c r="J13" s="235" t="s">
        <v>24</v>
      </c>
      <c r="K13" s="239"/>
      <c r="L13" s="236"/>
      <c r="M13" s="168"/>
      <c r="N13" s="158"/>
      <c r="O13" s="159" t="s">
        <v>177</v>
      </c>
      <c r="P13" s="168"/>
      <c r="Q13" s="158"/>
      <c r="R13" s="159" t="s">
        <v>177</v>
      </c>
      <c r="S13" s="168"/>
      <c r="T13" s="158"/>
      <c r="U13" s="159" t="s">
        <v>177</v>
      </c>
      <c r="V13" s="168"/>
      <c r="W13" s="158"/>
      <c r="X13" s="159" t="s">
        <v>177</v>
      </c>
      <c r="Y13" s="168"/>
      <c r="Z13" s="158"/>
      <c r="AA13" s="159" t="s">
        <v>177</v>
      </c>
      <c r="AB13" s="168"/>
      <c r="AC13" s="158"/>
      <c r="AD13" s="159" t="s">
        <v>177</v>
      </c>
      <c r="AE13" s="168"/>
      <c r="AF13" s="158"/>
      <c r="AG13" s="159" t="s">
        <v>177</v>
      </c>
      <c r="AH13" s="168"/>
    </row>
    <row r="14" spans="1:34" ht="18" customHeight="1">
      <c r="B14" s="225" t="str">
        <f>IF(OR(O14="-",O14="N/A"),"",COUNTA(O$5:O14)-(COUNTIF((O$5:O14),"-")+COUNTIF((O$5:O14),"N/A"))+COUNTIF((O$5:O14),""))</f>
        <v/>
      </c>
      <c r="C14" s="225" t="str">
        <f t="shared" si="0"/>
        <v/>
      </c>
      <c r="D14" s="237" t="s">
        <v>311</v>
      </c>
      <c r="E14" s="231"/>
      <c r="F14" s="231"/>
      <c r="G14" s="225"/>
      <c r="H14" s="225"/>
      <c r="I14" s="225"/>
      <c r="J14" s="225"/>
      <c r="K14" s="231"/>
      <c r="L14" s="229"/>
      <c r="M14" s="170"/>
      <c r="N14" s="160"/>
      <c r="O14" s="161" t="s">
        <v>43</v>
      </c>
      <c r="P14" s="170"/>
      <c r="Q14" s="160"/>
      <c r="R14" s="161" t="s">
        <v>43</v>
      </c>
      <c r="S14" s="170"/>
      <c r="T14" s="275"/>
      <c r="U14" s="276" t="s">
        <v>43</v>
      </c>
      <c r="V14" s="170"/>
      <c r="W14" s="160"/>
      <c r="X14" s="161" t="s">
        <v>43</v>
      </c>
      <c r="Y14" s="170"/>
      <c r="Z14" s="160"/>
      <c r="AA14" s="161" t="s">
        <v>43</v>
      </c>
      <c r="AB14" s="170"/>
      <c r="AC14" s="160"/>
      <c r="AD14" s="161" t="s">
        <v>43</v>
      </c>
      <c r="AE14" s="170"/>
      <c r="AF14" s="160"/>
      <c r="AG14" s="161" t="s">
        <v>43</v>
      </c>
      <c r="AH14" s="170"/>
    </row>
    <row r="15" spans="1:34" ht="30" customHeight="1">
      <c r="B15" s="225">
        <f>B13+1</f>
        <v>7</v>
      </c>
      <c r="C15" s="225" t="str">
        <f t="shared" si="0"/>
        <v>TC-EIF-SCN-7</v>
      </c>
      <c r="D15" s="238" t="s">
        <v>312</v>
      </c>
      <c r="E15" s="239" t="s">
        <v>10</v>
      </c>
      <c r="F15" s="239" t="s">
        <v>147</v>
      </c>
      <c r="G15" s="235" t="s">
        <v>9</v>
      </c>
      <c r="H15" s="234" t="s">
        <v>43</v>
      </c>
      <c r="I15" s="233" t="s">
        <v>12</v>
      </c>
      <c r="J15" s="235" t="s">
        <v>24</v>
      </c>
      <c r="K15" s="239"/>
      <c r="L15" s="236"/>
      <c r="M15" s="168"/>
      <c r="N15" s="158"/>
      <c r="O15" s="159" t="s">
        <v>177</v>
      </c>
      <c r="P15" s="168"/>
      <c r="Q15" s="158"/>
      <c r="R15" s="159" t="s">
        <v>177</v>
      </c>
      <c r="S15" s="168"/>
      <c r="T15" s="158"/>
      <c r="U15" s="159" t="s">
        <v>177</v>
      </c>
      <c r="V15" s="168"/>
      <c r="W15" s="158"/>
      <c r="X15" s="159" t="s">
        <v>177</v>
      </c>
      <c r="Y15" s="168"/>
      <c r="Z15" s="158"/>
      <c r="AA15" s="159" t="s">
        <v>177</v>
      </c>
      <c r="AB15" s="168"/>
      <c r="AC15" s="158"/>
      <c r="AD15" s="159" t="s">
        <v>177</v>
      </c>
      <c r="AE15" s="168"/>
      <c r="AF15" s="158"/>
      <c r="AG15" s="159" t="s">
        <v>177</v>
      </c>
      <c r="AH15" s="168"/>
    </row>
    <row r="16" spans="1:34" ht="30" customHeight="1">
      <c r="B16" s="225">
        <f>B15+1</f>
        <v>8</v>
      </c>
      <c r="C16" s="225" t="str">
        <f t="shared" si="0"/>
        <v>TC-EIF-SCN-8</v>
      </c>
      <c r="D16" s="238" t="s">
        <v>313</v>
      </c>
      <c r="E16" s="239" t="s">
        <v>222</v>
      </c>
      <c r="F16" s="239" t="s">
        <v>276</v>
      </c>
      <c r="G16" s="235" t="s">
        <v>261</v>
      </c>
      <c r="H16" s="234" t="s">
        <v>43</v>
      </c>
      <c r="I16" s="233" t="s">
        <v>13</v>
      </c>
      <c r="J16" s="235" t="s">
        <v>24</v>
      </c>
      <c r="K16" s="239"/>
      <c r="L16" s="236"/>
      <c r="M16" s="168"/>
      <c r="N16" s="158"/>
      <c r="O16" s="159" t="s">
        <v>177</v>
      </c>
      <c r="P16" s="168"/>
      <c r="Q16" s="158"/>
      <c r="R16" s="159" t="s">
        <v>177</v>
      </c>
      <c r="S16" s="168"/>
      <c r="T16" s="158"/>
      <c r="U16" s="159" t="s">
        <v>177</v>
      </c>
      <c r="V16" s="168"/>
      <c r="W16" s="158"/>
      <c r="X16" s="159" t="s">
        <v>177</v>
      </c>
      <c r="Y16" s="168"/>
      <c r="Z16" s="158"/>
      <c r="AA16" s="159" t="s">
        <v>177</v>
      </c>
      <c r="AB16" s="168"/>
      <c r="AC16" s="158"/>
      <c r="AD16" s="159" t="s">
        <v>177</v>
      </c>
      <c r="AE16" s="168"/>
      <c r="AF16" s="158"/>
      <c r="AG16" s="159" t="s">
        <v>177</v>
      </c>
      <c r="AH16" s="168"/>
    </row>
    <row r="17" spans="2:34" ht="18" customHeight="1">
      <c r="B17" s="225" t="str">
        <f>IF(OR(O17="-",O17="N/A"),"",COUNTA(O$5:O17)-(COUNTIF((O$5:O17),"-")+COUNTIF((O$5:O17),"N/A"))+COUNTIF((O$5:O17),""))</f>
        <v/>
      </c>
      <c r="C17" s="225" t="str">
        <f t="shared" si="0"/>
        <v/>
      </c>
      <c r="D17" s="237" t="s">
        <v>314</v>
      </c>
      <c r="E17" s="231"/>
      <c r="F17" s="231"/>
      <c r="G17" s="225"/>
      <c r="H17" s="225"/>
      <c r="I17" s="225"/>
      <c r="J17" s="225"/>
      <c r="K17" s="231"/>
      <c r="L17" s="229"/>
      <c r="M17" s="170"/>
      <c r="N17" s="160"/>
      <c r="O17" s="161" t="s">
        <v>43</v>
      </c>
      <c r="P17" s="170"/>
      <c r="Q17" s="160"/>
      <c r="R17" s="161" t="s">
        <v>43</v>
      </c>
      <c r="S17" s="170"/>
      <c r="T17" s="275"/>
      <c r="U17" s="276" t="s">
        <v>43</v>
      </c>
      <c r="V17" s="170"/>
      <c r="W17" s="160"/>
      <c r="X17" s="161" t="s">
        <v>43</v>
      </c>
      <c r="Y17" s="170"/>
      <c r="Z17" s="160"/>
      <c r="AA17" s="161" t="s">
        <v>43</v>
      </c>
      <c r="AB17" s="170"/>
      <c r="AC17" s="160"/>
      <c r="AD17" s="161" t="s">
        <v>43</v>
      </c>
      <c r="AE17" s="170"/>
      <c r="AF17" s="160"/>
      <c r="AG17" s="161" t="s">
        <v>43</v>
      </c>
      <c r="AH17" s="170"/>
    </row>
    <row r="18" spans="2:34" ht="30" customHeight="1">
      <c r="B18" s="225">
        <f>B16+1</f>
        <v>9</v>
      </c>
      <c r="C18" s="225" t="str">
        <f t="shared" si="0"/>
        <v>TC-EIF-SCN-9</v>
      </c>
      <c r="D18" s="307" t="s">
        <v>315</v>
      </c>
      <c r="E18" s="307" t="s">
        <v>280</v>
      </c>
      <c r="F18" s="308" t="s">
        <v>148</v>
      </c>
      <c r="G18" s="309" t="s">
        <v>132</v>
      </c>
      <c r="H18" s="310" t="s">
        <v>135</v>
      </c>
      <c r="I18" s="309" t="s">
        <v>12</v>
      </c>
      <c r="J18" s="311" t="s">
        <v>24</v>
      </c>
      <c r="K18" s="308"/>
      <c r="L18" s="312"/>
      <c r="M18" s="169"/>
      <c r="N18" s="162"/>
      <c r="O18" s="163" t="s">
        <v>34</v>
      </c>
      <c r="P18" s="169"/>
      <c r="Q18" s="162"/>
      <c r="R18" s="163" t="s">
        <v>34</v>
      </c>
      <c r="S18" s="169"/>
      <c r="T18" s="277"/>
      <c r="U18" s="278" t="s">
        <v>34</v>
      </c>
      <c r="V18" s="169"/>
      <c r="W18" s="162"/>
      <c r="X18" s="163" t="s">
        <v>34</v>
      </c>
      <c r="Y18" s="169"/>
      <c r="Z18" s="162"/>
      <c r="AA18" s="163" t="s">
        <v>34</v>
      </c>
      <c r="AB18" s="169"/>
      <c r="AC18" s="162"/>
      <c r="AD18" s="163" t="s">
        <v>34</v>
      </c>
      <c r="AE18" s="169"/>
      <c r="AF18" s="162"/>
      <c r="AG18" s="163" t="s">
        <v>34</v>
      </c>
      <c r="AH18" s="169"/>
    </row>
    <row r="19" spans="2:34" ht="30" customHeight="1">
      <c r="B19" s="225">
        <f t="shared" ref="B19:B25" si="1">B18+1</f>
        <v>10</v>
      </c>
      <c r="C19" s="225" t="str">
        <f t="shared" si="0"/>
        <v>TC-EIF-SCN-10</v>
      </c>
      <c r="D19" s="307" t="s">
        <v>316</v>
      </c>
      <c r="E19" s="307" t="s">
        <v>277</v>
      </c>
      <c r="F19" s="308" t="s">
        <v>148</v>
      </c>
      <c r="G19" s="309" t="s">
        <v>132</v>
      </c>
      <c r="H19" s="310" t="s">
        <v>135</v>
      </c>
      <c r="I19" s="309" t="s">
        <v>12</v>
      </c>
      <c r="J19" s="311" t="s">
        <v>24</v>
      </c>
      <c r="K19" s="308"/>
      <c r="L19" s="312"/>
      <c r="M19" s="169"/>
      <c r="N19" s="162"/>
      <c r="O19" s="163" t="s">
        <v>34</v>
      </c>
      <c r="P19" s="169"/>
      <c r="Q19" s="162"/>
      <c r="R19" s="163" t="s">
        <v>34</v>
      </c>
      <c r="S19" s="169"/>
      <c r="T19" s="277"/>
      <c r="U19" s="278" t="s">
        <v>34</v>
      </c>
      <c r="V19" s="169"/>
      <c r="W19" s="162"/>
      <c r="X19" s="163" t="s">
        <v>34</v>
      </c>
      <c r="Y19" s="169"/>
      <c r="Z19" s="162"/>
      <c r="AA19" s="163" t="s">
        <v>34</v>
      </c>
      <c r="AB19" s="169"/>
      <c r="AC19" s="162"/>
      <c r="AD19" s="163" t="s">
        <v>34</v>
      </c>
      <c r="AE19" s="169"/>
      <c r="AF19" s="162"/>
      <c r="AG19" s="163" t="s">
        <v>34</v>
      </c>
      <c r="AH19" s="169"/>
    </row>
    <row r="20" spans="2:34" ht="30" customHeight="1">
      <c r="B20" s="225">
        <f t="shared" si="1"/>
        <v>11</v>
      </c>
      <c r="C20" s="225" t="str">
        <f t="shared" si="0"/>
        <v>TC-EIF-SCN-11</v>
      </c>
      <c r="D20" s="307" t="s">
        <v>317</v>
      </c>
      <c r="E20" s="307" t="s">
        <v>281</v>
      </c>
      <c r="F20" s="308" t="s">
        <v>148</v>
      </c>
      <c r="G20" s="288" t="s">
        <v>132</v>
      </c>
      <c r="H20" s="313" t="s">
        <v>135</v>
      </c>
      <c r="I20" s="288" t="s">
        <v>12</v>
      </c>
      <c r="J20" s="289" t="s">
        <v>24</v>
      </c>
      <c r="K20" s="314"/>
      <c r="L20" s="312"/>
      <c r="M20" s="169"/>
      <c r="N20" s="162"/>
      <c r="O20" s="163" t="s">
        <v>34</v>
      </c>
      <c r="P20" s="169"/>
      <c r="Q20" s="162"/>
      <c r="R20" s="163" t="s">
        <v>34</v>
      </c>
      <c r="S20" s="169"/>
      <c r="T20" s="277"/>
      <c r="U20" s="278" t="s">
        <v>34</v>
      </c>
      <c r="V20" s="169"/>
      <c r="W20" s="162"/>
      <c r="X20" s="163" t="s">
        <v>34</v>
      </c>
      <c r="Y20" s="169"/>
      <c r="Z20" s="162"/>
      <c r="AA20" s="163" t="s">
        <v>34</v>
      </c>
      <c r="AB20" s="169"/>
      <c r="AC20" s="162"/>
      <c r="AD20" s="163" t="s">
        <v>34</v>
      </c>
      <c r="AE20" s="169"/>
      <c r="AF20" s="162"/>
      <c r="AG20" s="163" t="s">
        <v>34</v>
      </c>
      <c r="AH20" s="169"/>
    </row>
    <row r="21" spans="2:34" ht="30" customHeight="1">
      <c r="B21" s="225">
        <f t="shared" si="1"/>
        <v>12</v>
      </c>
      <c r="C21" s="225" t="str">
        <f t="shared" si="0"/>
        <v>TC-EIF-SCN-12</v>
      </c>
      <c r="D21" s="307" t="s">
        <v>318</v>
      </c>
      <c r="E21" s="307" t="s">
        <v>278</v>
      </c>
      <c r="F21" s="316" t="s">
        <v>148</v>
      </c>
      <c r="G21" s="288" t="s">
        <v>132</v>
      </c>
      <c r="H21" s="313" t="s">
        <v>135</v>
      </c>
      <c r="I21" s="288" t="s">
        <v>12</v>
      </c>
      <c r="J21" s="289" t="s">
        <v>24</v>
      </c>
      <c r="K21" s="314"/>
      <c r="L21" s="312"/>
      <c r="M21" s="169"/>
      <c r="N21" s="162"/>
      <c r="O21" s="163" t="s">
        <v>34</v>
      </c>
      <c r="P21" s="169"/>
      <c r="Q21" s="162"/>
      <c r="R21" s="163" t="s">
        <v>34</v>
      </c>
      <c r="S21" s="169"/>
      <c r="T21" s="162"/>
      <c r="U21" s="163" t="s">
        <v>34</v>
      </c>
      <c r="V21" s="169"/>
      <c r="W21" s="162"/>
      <c r="X21" s="163" t="s">
        <v>34</v>
      </c>
      <c r="Y21" s="169"/>
      <c r="Z21" s="162"/>
      <c r="AA21" s="163" t="s">
        <v>34</v>
      </c>
      <c r="AB21" s="169"/>
      <c r="AC21" s="162"/>
      <c r="AD21" s="163" t="s">
        <v>34</v>
      </c>
      <c r="AE21" s="169"/>
      <c r="AF21" s="162"/>
      <c r="AG21" s="163" t="s">
        <v>34</v>
      </c>
      <c r="AH21" s="169"/>
    </row>
    <row r="22" spans="2:34" ht="30" customHeight="1">
      <c r="B22" s="225">
        <f t="shared" si="1"/>
        <v>13</v>
      </c>
      <c r="C22" s="225" t="str">
        <f t="shared" si="0"/>
        <v>TC-EIF-SCN-13</v>
      </c>
      <c r="D22" s="307" t="s">
        <v>319</v>
      </c>
      <c r="E22" s="307" t="s">
        <v>279</v>
      </c>
      <c r="F22" s="316" t="s">
        <v>148</v>
      </c>
      <c r="G22" s="288" t="s">
        <v>132</v>
      </c>
      <c r="H22" s="313" t="s">
        <v>135</v>
      </c>
      <c r="I22" s="288" t="s">
        <v>12</v>
      </c>
      <c r="J22" s="289" t="s">
        <v>24</v>
      </c>
      <c r="K22" s="314"/>
      <c r="L22" s="312"/>
      <c r="M22" s="169"/>
      <c r="N22" s="162"/>
      <c r="O22" s="163" t="s">
        <v>34</v>
      </c>
      <c r="P22" s="169"/>
      <c r="Q22" s="162"/>
      <c r="R22" s="163" t="s">
        <v>34</v>
      </c>
      <c r="S22" s="169"/>
      <c r="T22" s="162"/>
      <c r="U22" s="163" t="s">
        <v>34</v>
      </c>
      <c r="V22" s="169"/>
      <c r="W22" s="162"/>
      <c r="X22" s="163" t="s">
        <v>34</v>
      </c>
      <c r="Y22" s="169"/>
      <c r="Z22" s="162"/>
      <c r="AA22" s="163" t="s">
        <v>34</v>
      </c>
      <c r="AB22" s="169"/>
      <c r="AC22" s="162"/>
      <c r="AD22" s="163" t="s">
        <v>34</v>
      </c>
      <c r="AE22" s="169"/>
      <c r="AF22" s="162"/>
      <c r="AG22" s="163" t="s">
        <v>34</v>
      </c>
      <c r="AH22" s="169"/>
    </row>
    <row r="23" spans="2:34" ht="30" customHeight="1">
      <c r="B23" s="225">
        <f>B22+1</f>
        <v>14</v>
      </c>
      <c r="C23" s="225" t="str">
        <f t="shared" si="0"/>
        <v>TC-EIF-SCN-14</v>
      </c>
      <c r="D23" s="315" t="s">
        <v>320</v>
      </c>
      <c r="E23" s="315" t="s">
        <v>282</v>
      </c>
      <c r="F23" s="316" t="s">
        <v>133</v>
      </c>
      <c r="G23" s="288" t="s">
        <v>132</v>
      </c>
      <c r="H23" s="313" t="s">
        <v>43</v>
      </c>
      <c r="I23" s="288" t="s">
        <v>12</v>
      </c>
      <c r="J23" s="289" t="s">
        <v>24</v>
      </c>
      <c r="K23" s="314"/>
      <c r="L23" s="312"/>
      <c r="M23" s="169"/>
      <c r="N23" s="162"/>
      <c r="O23" s="163" t="s">
        <v>34</v>
      </c>
      <c r="P23" s="169"/>
      <c r="Q23" s="162"/>
      <c r="R23" s="163" t="s">
        <v>34</v>
      </c>
      <c r="S23" s="169"/>
      <c r="T23" s="277"/>
      <c r="U23" s="278" t="s">
        <v>34</v>
      </c>
      <c r="V23" s="169"/>
      <c r="W23" s="162"/>
      <c r="X23" s="163" t="s">
        <v>34</v>
      </c>
      <c r="Y23" s="169"/>
      <c r="Z23" s="162"/>
      <c r="AA23" s="163" t="s">
        <v>34</v>
      </c>
      <c r="AB23" s="169"/>
      <c r="AC23" s="162"/>
      <c r="AD23" s="163" t="s">
        <v>34</v>
      </c>
      <c r="AE23" s="169"/>
      <c r="AF23" s="162"/>
      <c r="AG23" s="163" t="s">
        <v>34</v>
      </c>
      <c r="AH23" s="169"/>
    </row>
    <row r="24" spans="2:34" ht="40.5">
      <c r="B24" s="225">
        <f t="shared" si="1"/>
        <v>15</v>
      </c>
      <c r="C24" s="225" t="str">
        <f t="shared" si="0"/>
        <v>TC-EIF-SCN-15</v>
      </c>
      <c r="D24" s="340" t="s">
        <v>321</v>
      </c>
      <c r="E24" s="340" t="s">
        <v>283</v>
      </c>
      <c r="F24" s="341" t="s">
        <v>133</v>
      </c>
      <c r="G24" s="303" t="s">
        <v>132</v>
      </c>
      <c r="H24" s="342" t="s">
        <v>43</v>
      </c>
      <c r="I24" s="303" t="s">
        <v>12</v>
      </c>
      <c r="J24" s="295" t="s">
        <v>24</v>
      </c>
      <c r="K24" s="343"/>
      <c r="L24" s="344"/>
      <c r="M24" s="298"/>
      <c r="N24" s="345"/>
      <c r="O24" s="346" t="s">
        <v>177</v>
      </c>
      <c r="P24" s="298"/>
      <c r="Q24" s="345"/>
      <c r="R24" s="346" t="s">
        <v>177</v>
      </c>
      <c r="S24" s="298"/>
      <c r="T24" s="347"/>
      <c r="U24" s="346" t="s">
        <v>177</v>
      </c>
      <c r="V24" s="298"/>
      <c r="W24" s="345"/>
      <c r="X24" s="346" t="s">
        <v>177</v>
      </c>
      <c r="Y24" s="298"/>
      <c r="Z24" s="345"/>
      <c r="AA24" s="346" t="s">
        <v>177</v>
      </c>
      <c r="AB24" s="298"/>
      <c r="AC24" s="345"/>
      <c r="AD24" s="346" t="s">
        <v>177</v>
      </c>
      <c r="AE24" s="298"/>
      <c r="AF24" s="345"/>
      <c r="AG24" s="346" t="s">
        <v>177</v>
      </c>
      <c r="AH24" s="298"/>
    </row>
    <row r="25" spans="2:34" ht="40.5">
      <c r="B25" s="225">
        <f t="shared" si="1"/>
        <v>16</v>
      </c>
      <c r="C25" s="225" t="str">
        <f t="shared" si="0"/>
        <v>TC-EIF-SCN-16</v>
      </c>
      <c r="D25" s="340" t="s">
        <v>322</v>
      </c>
      <c r="E25" s="340" t="s">
        <v>284</v>
      </c>
      <c r="F25" s="348" t="s">
        <v>133</v>
      </c>
      <c r="G25" s="303" t="s">
        <v>132</v>
      </c>
      <c r="H25" s="342" t="s">
        <v>43</v>
      </c>
      <c r="I25" s="303" t="s">
        <v>12</v>
      </c>
      <c r="J25" s="295" t="s">
        <v>24</v>
      </c>
      <c r="K25" s="343"/>
      <c r="L25" s="344"/>
      <c r="M25" s="298"/>
      <c r="N25" s="345"/>
      <c r="O25" s="346" t="s">
        <v>177</v>
      </c>
      <c r="P25" s="298"/>
      <c r="Q25" s="345"/>
      <c r="R25" s="346" t="s">
        <v>177</v>
      </c>
      <c r="S25" s="298"/>
      <c r="T25" s="347"/>
      <c r="U25" s="346" t="s">
        <v>177</v>
      </c>
      <c r="V25" s="298"/>
      <c r="W25" s="345"/>
      <c r="X25" s="346" t="s">
        <v>177</v>
      </c>
      <c r="Y25" s="298"/>
      <c r="Z25" s="345"/>
      <c r="AA25" s="346" t="s">
        <v>177</v>
      </c>
      <c r="AB25" s="298"/>
      <c r="AC25" s="345"/>
      <c r="AD25" s="346" t="s">
        <v>177</v>
      </c>
      <c r="AE25" s="298"/>
      <c r="AF25" s="345"/>
      <c r="AG25" s="346" t="s">
        <v>177</v>
      </c>
      <c r="AH25" s="298"/>
    </row>
    <row r="26" spans="2:34" ht="18" customHeight="1">
      <c r="B26" s="225" t="str">
        <f>IF(OR(O26="-",O26="N/A"),"",COUNTA(O$5:O26)-(COUNTIF((O$5:O26),"-")+COUNTIF((O$5:O26),"N/A"))+COUNTIF((O$5:O26),""))</f>
        <v/>
      </c>
      <c r="C26" s="225" t="str">
        <f t="shared" si="0"/>
        <v/>
      </c>
      <c r="D26" s="226" t="s">
        <v>323</v>
      </c>
      <c r="E26" s="231"/>
      <c r="F26" s="231"/>
      <c r="G26" s="225"/>
      <c r="H26" s="225"/>
      <c r="I26" s="225"/>
      <c r="J26" s="225"/>
      <c r="K26" s="231"/>
      <c r="L26" s="229"/>
      <c r="M26" s="170"/>
      <c r="N26" s="160"/>
      <c r="O26" s="161" t="s">
        <v>43</v>
      </c>
      <c r="P26" s="170"/>
      <c r="Q26" s="160"/>
      <c r="R26" s="161" t="s">
        <v>43</v>
      </c>
      <c r="S26" s="170"/>
      <c r="T26" s="275"/>
      <c r="U26" s="276" t="s">
        <v>43</v>
      </c>
      <c r="V26" s="170"/>
      <c r="W26" s="160"/>
      <c r="X26" s="161" t="s">
        <v>43</v>
      </c>
      <c r="Y26" s="170"/>
      <c r="Z26" s="160"/>
      <c r="AA26" s="161" t="s">
        <v>43</v>
      </c>
      <c r="AB26" s="170"/>
      <c r="AC26" s="160"/>
      <c r="AD26" s="161" t="s">
        <v>43</v>
      </c>
      <c r="AE26" s="170"/>
      <c r="AF26" s="160"/>
      <c r="AG26" s="161" t="s">
        <v>43</v>
      </c>
      <c r="AH26" s="170"/>
    </row>
    <row r="27" spans="2:34" ht="30" customHeight="1">
      <c r="B27" s="225">
        <f>B25+1</f>
        <v>17</v>
      </c>
      <c r="C27" s="225" t="str">
        <f t="shared" si="0"/>
        <v>TC-EIF-SCN-17</v>
      </c>
      <c r="D27" s="317" t="s">
        <v>324</v>
      </c>
      <c r="E27" s="319" t="s">
        <v>16</v>
      </c>
      <c r="F27" s="319" t="s">
        <v>4</v>
      </c>
      <c r="G27" s="289" t="s">
        <v>5</v>
      </c>
      <c r="H27" s="313" t="s">
        <v>135</v>
      </c>
      <c r="I27" s="288" t="s">
        <v>12</v>
      </c>
      <c r="J27" s="289" t="s">
        <v>24</v>
      </c>
      <c r="K27" s="319"/>
      <c r="L27" s="312"/>
      <c r="M27" s="169"/>
      <c r="N27" s="162"/>
      <c r="O27" s="163" t="s">
        <v>34</v>
      </c>
      <c r="P27" s="169"/>
      <c r="Q27" s="162"/>
      <c r="R27" s="163" t="s">
        <v>34</v>
      </c>
      <c r="S27" s="169"/>
      <c r="T27" s="162"/>
      <c r="U27" s="163" t="s">
        <v>34</v>
      </c>
      <c r="V27" s="169"/>
      <c r="W27" s="162"/>
      <c r="X27" s="163" t="s">
        <v>34</v>
      </c>
      <c r="Y27" s="169"/>
      <c r="Z27" s="162"/>
      <c r="AA27" s="163" t="s">
        <v>34</v>
      </c>
      <c r="AB27" s="169"/>
      <c r="AC27" s="162"/>
      <c r="AD27" s="163" t="s">
        <v>34</v>
      </c>
      <c r="AE27" s="169"/>
      <c r="AF27" s="162"/>
      <c r="AG27" s="163" t="s">
        <v>34</v>
      </c>
      <c r="AH27" s="169"/>
    </row>
    <row r="28" spans="2:34" ht="94.5">
      <c r="B28" s="225">
        <f>B27+1</f>
        <v>18</v>
      </c>
      <c r="C28" s="225" t="str">
        <f t="shared" si="0"/>
        <v>TC-EIF-SCN-18</v>
      </c>
      <c r="D28" s="317" t="s">
        <v>325</v>
      </c>
      <c r="E28" s="308" t="s">
        <v>15</v>
      </c>
      <c r="F28" s="316" t="s">
        <v>168</v>
      </c>
      <c r="G28" s="288" t="s">
        <v>169</v>
      </c>
      <c r="H28" s="313" t="s">
        <v>135</v>
      </c>
      <c r="I28" s="288" t="s">
        <v>13</v>
      </c>
      <c r="J28" s="289" t="s">
        <v>137</v>
      </c>
      <c r="K28" s="316"/>
      <c r="L28" s="312"/>
      <c r="M28" s="169"/>
      <c r="N28" s="162"/>
      <c r="O28" s="163" t="s">
        <v>34</v>
      </c>
      <c r="P28" s="169"/>
      <c r="Q28" s="162"/>
      <c r="R28" s="163" t="s">
        <v>34</v>
      </c>
      <c r="S28" s="169"/>
      <c r="T28" s="277"/>
      <c r="U28" s="278" t="s">
        <v>34</v>
      </c>
      <c r="V28" s="169"/>
      <c r="W28" s="162"/>
      <c r="X28" s="163" t="s">
        <v>34</v>
      </c>
      <c r="Y28" s="169"/>
      <c r="Z28" s="162"/>
      <c r="AA28" s="163" t="s">
        <v>34</v>
      </c>
      <c r="AB28" s="169"/>
      <c r="AC28" s="162"/>
      <c r="AD28" s="163" t="s">
        <v>34</v>
      </c>
      <c r="AE28" s="169"/>
      <c r="AF28" s="162"/>
      <c r="AG28" s="163" t="s">
        <v>34</v>
      </c>
      <c r="AH28" s="169"/>
    </row>
    <row r="29" spans="2:34" ht="18" customHeight="1">
      <c r="B29" s="225" t="str">
        <f>IF(OR(O29="-",O29="N/A"),"",COUNTA(O$5:O29)-(COUNTIF((O$5:O29),"-")+COUNTIF((O$5:O29),"N/A"))+COUNTIF((O$5:O29),""))</f>
        <v/>
      </c>
      <c r="C29" s="225" t="str">
        <f t="shared" si="0"/>
        <v/>
      </c>
      <c r="D29" s="237" t="s">
        <v>326</v>
      </c>
      <c r="E29" s="231"/>
      <c r="F29" s="231"/>
      <c r="G29" s="225"/>
      <c r="H29" s="225"/>
      <c r="I29" s="225"/>
      <c r="J29" s="225"/>
      <c r="K29" s="231"/>
      <c r="L29" s="229"/>
      <c r="M29" s="170"/>
      <c r="N29" s="160"/>
      <c r="O29" s="161" t="s">
        <v>43</v>
      </c>
      <c r="P29" s="170"/>
      <c r="Q29" s="160"/>
      <c r="R29" s="161" t="s">
        <v>43</v>
      </c>
      <c r="S29" s="170"/>
      <c r="T29" s="275"/>
      <c r="U29" s="276" t="s">
        <v>43</v>
      </c>
      <c r="V29" s="170"/>
      <c r="W29" s="160"/>
      <c r="X29" s="161" t="s">
        <v>43</v>
      </c>
      <c r="Y29" s="170"/>
      <c r="Z29" s="160"/>
      <c r="AA29" s="161" t="s">
        <v>43</v>
      </c>
      <c r="AB29" s="170"/>
      <c r="AC29" s="160"/>
      <c r="AD29" s="161" t="s">
        <v>43</v>
      </c>
      <c r="AE29" s="170"/>
      <c r="AF29" s="160"/>
      <c r="AG29" s="161" t="s">
        <v>43</v>
      </c>
      <c r="AH29" s="170"/>
    </row>
    <row r="30" spans="2:34" ht="45.75" customHeight="1">
      <c r="B30" s="225">
        <f>B28+1</f>
        <v>19</v>
      </c>
      <c r="C30" s="225" t="str">
        <f t="shared" si="0"/>
        <v>TC-EIF-SCN-19</v>
      </c>
      <c r="D30" s="238" t="s">
        <v>327</v>
      </c>
      <c r="E30" s="242" t="s">
        <v>285</v>
      </c>
      <c r="F30" s="232" t="s">
        <v>286</v>
      </c>
      <c r="G30" s="233" t="s">
        <v>288</v>
      </c>
      <c r="H30" s="235">
        <v>90101</v>
      </c>
      <c r="I30" s="233" t="s">
        <v>12</v>
      </c>
      <c r="J30" s="235" t="s">
        <v>24</v>
      </c>
      <c r="K30" s="232"/>
      <c r="L30" s="236"/>
      <c r="M30" s="168"/>
      <c r="N30" s="158"/>
      <c r="O30" s="159" t="s">
        <v>177</v>
      </c>
      <c r="P30" s="168"/>
      <c r="Q30" s="158"/>
      <c r="R30" s="159" t="s">
        <v>177</v>
      </c>
      <c r="S30" s="168"/>
      <c r="T30" s="349"/>
      <c r="U30" s="159" t="s">
        <v>177</v>
      </c>
      <c r="V30" s="168"/>
      <c r="W30" s="158"/>
      <c r="X30" s="159" t="s">
        <v>177</v>
      </c>
      <c r="Y30" s="168"/>
      <c r="Z30" s="158"/>
      <c r="AA30" s="159" t="s">
        <v>177</v>
      </c>
      <c r="AB30" s="168"/>
      <c r="AC30" s="158"/>
      <c r="AD30" s="159" t="s">
        <v>177</v>
      </c>
      <c r="AE30" s="168"/>
      <c r="AF30" s="158"/>
      <c r="AG30" s="159" t="s">
        <v>177</v>
      </c>
      <c r="AH30" s="168"/>
    </row>
    <row r="31" spans="2:34" ht="30" customHeight="1">
      <c r="B31" s="225">
        <f>B30+1</f>
        <v>20</v>
      </c>
      <c r="C31" s="225" t="str">
        <f t="shared" si="0"/>
        <v>TC-EIF-SCN-20</v>
      </c>
      <c r="D31" s="350" t="s">
        <v>328</v>
      </c>
      <c r="E31" s="242" t="s">
        <v>262</v>
      </c>
      <c r="F31" s="232" t="s">
        <v>289</v>
      </c>
      <c r="G31" s="233" t="s">
        <v>287</v>
      </c>
      <c r="H31" s="351"/>
      <c r="I31" s="233" t="s">
        <v>12</v>
      </c>
      <c r="J31" s="235" t="s">
        <v>24</v>
      </c>
      <c r="K31" s="232"/>
      <c r="L31" s="236"/>
      <c r="M31" s="168"/>
      <c r="N31" s="158"/>
      <c r="O31" s="159" t="s">
        <v>177</v>
      </c>
      <c r="P31" s="168"/>
      <c r="Q31" s="158"/>
      <c r="R31" s="159" t="s">
        <v>177</v>
      </c>
      <c r="S31" s="168"/>
      <c r="T31" s="349"/>
      <c r="U31" s="159" t="s">
        <v>177</v>
      </c>
      <c r="V31" s="168"/>
      <c r="W31" s="158"/>
      <c r="X31" s="159" t="s">
        <v>177</v>
      </c>
      <c r="Y31" s="168"/>
      <c r="Z31" s="158"/>
      <c r="AA31" s="159" t="s">
        <v>177</v>
      </c>
      <c r="AB31" s="168"/>
      <c r="AC31" s="158"/>
      <c r="AD31" s="159" t="s">
        <v>177</v>
      </c>
      <c r="AE31" s="168"/>
      <c r="AF31" s="158"/>
      <c r="AG31" s="159" t="s">
        <v>177</v>
      </c>
      <c r="AH31" s="168"/>
    </row>
    <row r="32" spans="2:34" ht="18" customHeight="1">
      <c r="B32" s="225" t="str">
        <f>IF(OR(O32="-",O32="N/A"),"",COUNTA(O$5:O32)-(COUNTIF((O$5:O32),"-")+COUNTIF((O$5:O32),"N/A"))+COUNTIF((O$5:O32),""))</f>
        <v/>
      </c>
      <c r="C32" s="225" t="str">
        <f t="shared" si="0"/>
        <v/>
      </c>
      <c r="D32" s="237" t="s">
        <v>329</v>
      </c>
      <c r="E32" s="245"/>
      <c r="F32" s="231"/>
      <c r="G32" s="225"/>
      <c r="H32" s="225"/>
      <c r="I32" s="240"/>
      <c r="J32" s="240"/>
      <c r="K32" s="231"/>
      <c r="L32" s="229"/>
      <c r="M32" s="170"/>
      <c r="N32" s="160"/>
      <c r="O32" s="161" t="s">
        <v>43</v>
      </c>
      <c r="P32" s="170"/>
      <c r="Q32" s="160"/>
      <c r="R32" s="161" t="s">
        <v>43</v>
      </c>
      <c r="S32" s="170"/>
      <c r="T32" s="275"/>
      <c r="U32" s="276" t="s">
        <v>43</v>
      </c>
      <c r="V32" s="170"/>
      <c r="W32" s="160"/>
      <c r="X32" s="161" t="s">
        <v>43</v>
      </c>
      <c r="Y32" s="170"/>
      <c r="Z32" s="160"/>
      <c r="AA32" s="161" t="s">
        <v>43</v>
      </c>
      <c r="AB32" s="170"/>
      <c r="AC32" s="160"/>
      <c r="AD32" s="161" t="s">
        <v>43</v>
      </c>
      <c r="AE32" s="170"/>
      <c r="AF32" s="160"/>
      <c r="AG32" s="161" t="s">
        <v>43</v>
      </c>
      <c r="AH32" s="170"/>
    </row>
    <row r="33" spans="2:34" ht="30" customHeight="1">
      <c r="B33" s="225">
        <f>B31+1</f>
        <v>21</v>
      </c>
      <c r="C33" s="225" t="str">
        <f t="shared" si="0"/>
        <v>TC-EIF-SCN-21</v>
      </c>
      <c r="D33" s="238" t="s">
        <v>330</v>
      </c>
      <c r="E33" s="242" t="s">
        <v>290</v>
      </c>
      <c r="F33" s="232" t="s">
        <v>233</v>
      </c>
      <c r="G33" s="235" t="s">
        <v>5</v>
      </c>
      <c r="H33" s="235">
        <v>10101</v>
      </c>
      <c r="I33" s="233" t="s">
        <v>83</v>
      </c>
      <c r="J33" s="235" t="s">
        <v>24</v>
      </c>
      <c r="K33" s="232"/>
      <c r="L33" s="241"/>
      <c r="M33" s="168"/>
      <c r="N33" s="158"/>
      <c r="O33" s="159" t="s">
        <v>177</v>
      </c>
      <c r="P33" s="168"/>
      <c r="Q33" s="158"/>
      <c r="R33" s="159" t="s">
        <v>177</v>
      </c>
      <c r="S33" s="168"/>
      <c r="T33" s="158"/>
      <c r="U33" s="159" t="s">
        <v>177</v>
      </c>
      <c r="V33" s="168"/>
      <c r="W33" s="158"/>
      <c r="X33" s="159" t="s">
        <v>177</v>
      </c>
      <c r="Y33" s="168"/>
      <c r="Z33" s="158"/>
      <c r="AA33" s="159" t="s">
        <v>177</v>
      </c>
      <c r="AB33" s="168"/>
      <c r="AC33" s="158"/>
      <c r="AD33" s="159" t="s">
        <v>177</v>
      </c>
      <c r="AE33" s="168"/>
      <c r="AF33" s="158"/>
      <c r="AG33" s="159" t="s">
        <v>177</v>
      </c>
      <c r="AH33" s="168"/>
    </row>
    <row r="34" spans="2:34" ht="18" customHeight="1">
      <c r="B34" s="225" t="str">
        <f>IF(OR(O34="-",O34="N/A"),"",COUNTA(O$5:O34)-(COUNTIF((O$5:O34),"-")+COUNTIF((O$5:O34),"N/A"))+COUNTIF((O$5:O34),""))</f>
        <v/>
      </c>
      <c r="C34" s="225" t="str">
        <f t="shared" ref="C34:C62" si="2">IF($B34="","",CONCATENATE("TC-EIF-SCN-",$B34))</f>
        <v/>
      </c>
      <c r="D34" s="237" t="s">
        <v>331</v>
      </c>
      <c r="E34" s="231"/>
      <c r="F34" s="231"/>
      <c r="G34" s="225"/>
      <c r="H34" s="225"/>
      <c r="I34" s="240"/>
      <c r="J34" s="240"/>
      <c r="K34" s="231"/>
      <c r="L34" s="229"/>
      <c r="M34" s="170"/>
      <c r="N34" s="160"/>
      <c r="O34" s="161" t="s">
        <v>43</v>
      </c>
      <c r="P34" s="170"/>
      <c r="Q34" s="160"/>
      <c r="R34" s="161" t="s">
        <v>43</v>
      </c>
      <c r="S34" s="170"/>
      <c r="T34" s="275"/>
      <c r="U34" s="276" t="s">
        <v>43</v>
      </c>
      <c r="V34" s="170"/>
      <c r="W34" s="160"/>
      <c r="X34" s="161" t="s">
        <v>43</v>
      </c>
      <c r="Y34" s="170"/>
      <c r="Z34" s="160"/>
      <c r="AA34" s="161" t="s">
        <v>43</v>
      </c>
      <c r="AB34" s="170"/>
      <c r="AC34" s="160"/>
      <c r="AD34" s="161" t="s">
        <v>43</v>
      </c>
      <c r="AE34" s="170"/>
      <c r="AF34" s="160"/>
      <c r="AG34" s="161" t="s">
        <v>43</v>
      </c>
      <c r="AH34" s="170"/>
    </row>
    <row r="35" spans="2:34" ht="15" customHeight="1">
      <c r="B35" s="225">
        <f>B33+1</f>
        <v>22</v>
      </c>
      <c r="C35" s="225" t="str">
        <f t="shared" si="2"/>
        <v>TC-EIF-SCN-22</v>
      </c>
      <c r="D35" s="318" t="s">
        <v>332</v>
      </c>
      <c r="E35" s="308" t="s">
        <v>293</v>
      </c>
      <c r="F35" s="316" t="s">
        <v>4</v>
      </c>
      <c r="G35" s="289" t="s">
        <v>85</v>
      </c>
      <c r="H35" s="289">
        <v>20106</v>
      </c>
      <c r="I35" s="288" t="s">
        <v>13</v>
      </c>
      <c r="J35" s="289" t="s">
        <v>24</v>
      </c>
      <c r="K35" s="319"/>
      <c r="L35" s="312"/>
      <c r="M35" s="169"/>
      <c r="N35" s="162"/>
      <c r="O35" s="163" t="s">
        <v>34</v>
      </c>
      <c r="P35" s="169"/>
      <c r="Q35" s="162"/>
      <c r="R35" s="163" t="s">
        <v>34</v>
      </c>
      <c r="S35" s="169"/>
      <c r="T35" s="277"/>
      <c r="U35" s="278" t="s">
        <v>34</v>
      </c>
      <c r="V35" s="169"/>
      <c r="W35" s="164"/>
      <c r="X35" s="165" t="s">
        <v>34</v>
      </c>
      <c r="Y35" s="169"/>
      <c r="Z35" s="162"/>
      <c r="AA35" s="163" t="s">
        <v>34</v>
      </c>
      <c r="AB35" s="169"/>
      <c r="AC35" s="162"/>
      <c r="AD35" s="163" t="s">
        <v>34</v>
      </c>
      <c r="AE35" s="169"/>
      <c r="AF35" s="162"/>
      <c r="AG35" s="163" t="s">
        <v>34</v>
      </c>
      <c r="AH35" s="169"/>
    </row>
    <row r="36" spans="2:34" ht="15" customHeight="1">
      <c r="B36" s="225">
        <f t="shared" ref="B36:B48" si="3">B35+1</f>
        <v>23</v>
      </c>
      <c r="C36" s="225" t="str">
        <f t="shared" si="2"/>
        <v>TC-EIF-SCN-23</v>
      </c>
      <c r="D36" s="318" t="s">
        <v>333</v>
      </c>
      <c r="E36" s="320" t="s">
        <v>294</v>
      </c>
      <c r="F36" s="316" t="s">
        <v>4</v>
      </c>
      <c r="G36" s="289" t="s">
        <v>5</v>
      </c>
      <c r="H36" s="289">
        <v>20108</v>
      </c>
      <c r="I36" s="288" t="s">
        <v>13</v>
      </c>
      <c r="J36" s="289" t="s">
        <v>24</v>
      </c>
      <c r="K36" s="319"/>
      <c r="L36" s="312"/>
      <c r="M36" s="169"/>
      <c r="N36" s="162"/>
      <c r="O36" s="163" t="s">
        <v>34</v>
      </c>
      <c r="P36" s="169"/>
      <c r="Q36" s="162"/>
      <c r="R36" s="163" t="s">
        <v>34</v>
      </c>
      <c r="S36" s="169"/>
      <c r="T36" s="277"/>
      <c r="U36" s="278" t="s">
        <v>34</v>
      </c>
      <c r="V36" s="169"/>
      <c r="W36" s="164"/>
      <c r="X36" s="165" t="s">
        <v>34</v>
      </c>
      <c r="Y36" s="169"/>
      <c r="Z36" s="162"/>
      <c r="AA36" s="163" t="s">
        <v>34</v>
      </c>
      <c r="AB36" s="169"/>
      <c r="AC36" s="162"/>
      <c r="AD36" s="163" t="s">
        <v>34</v>
      </c>
      <c r="AE36" s="169"/>
      <c r="AF36" s="162"/>
      <c r="AG36" s="163" t="s">
        <v>34</v>
      </c>
      <c r="AH36" s="169"/>
    </row>
    <row r="37" spans="2:34" ht="15" customHeight="1">
      <c r="B37" s="225">
        <f t="shared" si="3"/>
        <v>24</v>
      </c>
      <c r="C37" s="225" t="str">
        <f t="shared" si="2"/>
        <v>TC-EIF-SCN-24</v>
      </c>
      <c r="D37" s="318" t="s">
        <v>334</v>
      </c>
      <c r="E37" s="320"/>
      <c r="F37" s="319" t="s">
        <v>139</v>
      </c>
      <c r="G37" s="289" t="s">
        <v>132</v>
      </c>
      <c r="H37" s="289"/>
      <c r="I37" s="288" t="s">
        <v>13</v>
      </c>
      <c r="J37" s="289" t="s">
        <v>24</v>
      </c>
      <c r="K37" s="319"/>
      <c r="L37" s="312"/>
      <c r="M37" s="169"/>
      <c r="N37" s="162"/>
      <c r="O37" s="163" t="s">
        <v>34</v>
      </c>
      <c r="P37" s="169"/>
      <c r="Q37" s="162"/>
      <c r="R37" s="163" t="s">
        <v>34</v>
      </c>
      <c r="S37" s="169"/>
      <c r="T37" s="277"/>
      <c r="U37" s="278" t="s">
        <v>34</v>
      </c>
      <c r="V37" s="169"/>
      <c r="W37" s="164"/>
      <c r="X37" s="165" t="s">
        <v>34</v>
      </c>
      <c r="Y37" s="169"/>
      <c r="Z37" s="162"/>
      <c r="AA37" s="163" t="s">
        <v>34</v>
      </c>
      <c r="AB37" s="169"/>
      <c r="AC37" s="162"/>
      <c r="AD37" s="163" t="s">
        <v>34</v>
      </c>
      <c r="AE37" s="169"/>
      <c r="AF37" s="162"/>
      <c r="AG37" s="163" t="s">
        <v>34</v>
      </c>
      <c r="AH37" s="169"/>
    </row>
    <row r="38" spans="2:34" ht="15" customHeight="1">
      <c r="B38" s="225">
        <f t="shared" si="3"/>
        <v>25</v>
      </c>
      <c r="C38" s="225" t="str">
        <f t="shared" si="2"/>
        <v>TC-EIF-SCN-25</v>
      </c>
      <c r="D38" s="318" t="s">
        <v>335</v>
      </c>
      <c r="E38" s="308" t="s">
        <v>295</v>
      </c>
      <c r="F38" s="316" t="s">
        <v>4</v>
      </c>
      <c r="G38" s="289" t="s">
        <v>85</v>
      </c>
      <c r="H38" s="289">
        <v>20101</v>
      </c>
      <c r="I38" s="288" t="s">
        <v>13</v>
      </c>
      <c r="J38" s="289" t="s">
        <v>24</v>
      </c>
      <c r="K38" s="319"/>
      <c r="L38" s="312"/>
      <c r="M38" s="169"/>
      <c r="N38" s="162"/>
      <c r="O38" s="163" t="s">
        <v>34</v>
      </c>
      <c r="P38" s="169"/>
      <c r="Q38" s="162"/>
      <c r="R38" s="163" t="s">
        <v>34</v>
      </c>
      <c r="S38" s="169"/>
      <c r="T38" s="277"/>
      <c r="U38" s="278" t="s">
        <v>34</v>
      </c>
      <c r="V38" s="169"/>
      <c r="W38" s="164"/>
      <c r="X38" s="165" t="s">
        <v>34</v>
      </c>
      <c r="Y38" s="169"/>
      <c r="Z38" s="162"/>
      <c r="AA38" s="163" t="s">
        <v>34</v>
      </c>
      <c r="AB38" s="169"/>
      <c r="AC38" s="162"/>
      <c r="AD38" s="163" t="s">
        <v>34</v>
      </c>
      <c r="AE38" s="169"/>
      <c r="AF38" s="162"/>
      <c r="AG38" s="163" t="s">
        <v>34</v>
      </c>
      <c r="AH38" s="169"/>
    </row>
    <row r="39" spans="2:34" ht="15" customHeight="1">
      <c r="B39" s="225">
        <f t="shared" si="3"/>
        <v>26</v>
      </c>
      <c r="C39" s="225" t="str">
        <f t="shared" si="2"/>
        <v>TC-EIF-SCN-26</v>
      </c>
      <c r="D39" s="318" t="s">
        <v>336</v>
      </c>
      <c r="E39" s="320" t="s">
        <v>303</v>
      </c>
      <c r="F39" s="316" t="s">
        <v>4</v>
      </c>
      <c r="G39" s="289" t="s">
        <v>5</v>
      </c>
      <c r="H39" s="289">
        <v>20403</v>
      </c>
      <c r="I39" s="288" t="s">
        <v>13</v>
      </c>
      <c r="J39" s="289" t="s">
        <v>24</v>
      </c>
      <c r="K39" s="319"/>
      <c r="L39" s="312"/>
      <c r="M39" s="169"/>
      <c r="N39" s="162"/>
      <c r="O39" s="163" t="s">
        <v>34</v>
      </c>
      <c r="P39" s="169"/>
      <c r="Q39" s="162"/>
      <c r="R39" s="163" t="s">
        <v>34</v>
      </c>
      <c r="S39" s="169"/>
      <c r="T39" s="277"/>
      <c r="U39" s="278" t="s">
        <v>34</v>
      </c>
      <c r="V39" s="169"/>
      <c r="W39" s="164"/>
      <c r="X39" s="165" t="s">
        <v>34</v>
      </c>
      <c r="Y39" s="169"/>
      <c r="Z39" s="162"/>
      <c r="AA39" s="163" t="s">
        <v>34</v>
      </c>
      <c r="AB39" s="169"/>
      <c r="AC39" s="162"/>
      <c r="AD39" s="163" t="s">
        <v>34</v>
      </c>
      <c r="AE39" s="169"/>
      <c r="AF39" s="162"/>
      <c r="AG39" s="163" t="s">
        <v>34</v>
      </c>
      <c r="AH39" s="169"/>
    </row>
    <row r="40" spans="2:34" ht="15" customHeight="1">
      <c r="B40" s="225">
        <f t="shared" si="3"/>
        <v>27</v>
      </c>
      <c r="C40" s="225" t="str">
        <f t="shared" si="2"/>
        <v>TC-EIF-SCN-27</v>
      </c>
      <c r="D40" s="318" t="s">
        <v>337</v>
      </c>
      <c r="E40" s="320"/>
      <c r="F40" s="319" t="s">
        <v>139</v>
      </c>
      <c r="G40" s="289" t="s">
        <v>132</v>
      </c>
      <c r="H40" s="289"/>
      <c r="I40" s="288" t="s">
        <v>13</v>
      </c>
      <c r="J40" s="289" t="s">
        <v>143</v>
      </c>
      <c r="K40" s="319"/>
      <c r="L40" s="312"/>
      <c r="M40" s="169"/>
      <c r="N40" s="162"/>
      <c r="O40" s="163" t="s">
        <v>34</v>
      </c>
      <c r="P40" s="169"/>
      <c r="Q40" s="162"/>
      <c r="R40" s="163" t="s">
        <v>34</v>
      </c>
      <c r="S40" s="169"/>
      <c r="T40" s="277"/>
      <c r="U40" s="278" t="s">
        <v>34</v>
      </c>
      <c r="V40" s="169"/>
      <c r="W40" s="164"/>
      <c r="X40" s="165" t="s">
        <v>34</v>
      </c>
      <c r="Y40" s="169"/>
      <c r="Z40" s="162"/>
      <c r="AA40" s="163" t="s">
        <v>34</v>
      </c>
      <c r="AB40" s="169"/>
      <c r="AC40" s="162"/>
      <c r="AD40" s="163" t="s">
        <v>34</v>
      </c>
      <c r="AE40" s="169"/>
      <c r="AF40" s="162"/>
      <c r="AG40" s="163" t="s">
        <v>34</v>
      </c>
      <c r="AH40" s="169"/>
    </row>
    <row r="41" spans="2:34" ht="15" customHeight="1">
      <c r="B41" s="225">
        <f t="shared" si="3"/>
        <v>28</v>
      </c>
      <c r="C41" s="225" t="str">
        <f t="shared" si="2"/>
        <v>TC-EIF-SCN-28</v>
      </c>
      <c r="D41" s="318" t="s">
        <v>338</v>
      </c>
      <c r="E41" s="308" t="s">
        <v>302</v>
      </c>
      <c r="F41" s="319" t="s">
        <v>133</v>
      </c>
      <c r="G41" s="289" t="s">
        <v>5</v>
      </c>
      <c r="H41" s="288">
        <v>20401</v>
      </c>
      <c r="I41" s="288" t="s">
        <v>13</v>
      </c>
      <c r="J41" s="289" t="s">
        <v>143</v>
      </c>
      <c r="K41" s="316"/>
      <c r="L41" s="312"/>
      <c r="M41" s="169"/>
      <c r="N41" s="162"/>
      <c r="O41" s="163" t="s">
        <v>34</v>
      </c>
      <c r="P41" s="169"/>
      <c r="Q41" s="162"/>
      <c r="R41" s="163" t="s">
        <v>34</v>
      </c>
      <c r="S41" s="169"/>
      <c r="T41" s="277"/>
      <c r="U41" s="278" t="s">
        <v>34</v>
      </c>
      <c r="V41" s="169"/>
      <c r="W41" s="164"/>
      <c r="X41" s="165" t="s">
        <v>34</v>
      </c>
      <c r="Y41" s="169"/>
      <c r="Z41" s="162"/>
      <c r="AA41" s="163" t="s">
        <v>34</v>
      </c>
      <c r="AB41" s="169"/>
      <c r="AC41" s="162"/>
      <c r="AD41" s="163" t="s">
        <v>34</v>
      </c>
      <c r="AE41" s="169"/>
      <c r="AF41" s="162"/>
      <c r="AG41" s="163" t="s">
        <v>34</v>
      </c>
      <c r="AH41" s="169"/>
    </row>
    <row r="42" spans="2:34" ht="15" customHeight="1">
      <c r="B42" s="225">
        <f t="shared" si="3"/>
        <v>29</v>
      </c>
      <c r="C42" s="225" t="str">
        <f t="shared" si="2"/>
        <v>TC-EIF-SCN-29</v>
      </c>
      <c r="D42" s="318" t="s">
        <v>339</v>
      </c>
      <c r="E42" s="308" t="s">
        <v>301</v>
      </c>
      <c r="F42" s="316" t="s">
        <v>4</v>
      </c>
      <c r="G42" s="288" t="s">
        <v>144</v>
      </c>
      <c r="H42" s="288">
        <v>20405</v>
      </c>
      <c r="I42" s="288" t="s">
        <v>13</v>
      </c>
      <c r="J42" s="289" t="s">
        <v>143</v>
      </c>
      <c r="K42" s="316"/>
      <c r="L42" s="312"/>
      <c r="M42" s="169"/>
      <c r="N42" s="162"/>
      <c r="O42" s="163" t="s">
        <v>34</v>
      </c>
      <c r="P42" s="169"/>
      <c r="Q42" s="162"/>
      <c r="R42" s="163" t="s">
        <v>34</v>
      </c>
      <c r="S42" s="169"/>
      <c r="T42" s="277"/>
      <c r="U42" s="278" t="s">
        <v>34</v>
      </c>
      <c r="V42" s="169"/>
      <c r="W42" s="164"/>
      <c r="X42" s="165" t="s">
        <v>34</v>
      </c>
      <c r="Y42" s="169"/>
      <c r="Z42" s="162"/>
      <c r="AA42" s="163" t="s">
        <v>34</v>
      </c>
      <c r="AB42" s="169"/>
      <c r="AC42" s="162"/>
      <c r="AD42" s="163" t="s">
        <v>34</v>
      </c>
      <c r="AE42" s="169"/>
      <c r="AF42" s="162"/>
      <c r="AG42" s="163" t="s">
        <v>34</v>
      </c>
      <c r="AH42" s="169"/>
    </row>
    <row r="43" spans="2:34" ht="15" customHeight="1">
      <c r="B43" s="225">
        <f t="shared" si="3"/>
        <v>30</v>
      </c>
      <c r="C43" s="225" t="str">
        <f t="shared" si="2"/>
        <v>TC-EIF-SCN-30</v>
      </c>
      <c r="D43" s="318" t="s">
        <v>340</v>
      </c>
      <c r="E43" s="308" t="s">
        <v>300</v>
      </c>
      <c r="F43" s="316" t="s">
        <v>4</v>
      </c>
      <c r="G43" s="288" t="s">
        <v>144</v>
      </c>
      <c r="H43" s="288">
        <v>20102</v>
      </c>
      <c r="I43" s="288" t="s">
        <v>13</v>
      </c>
      <c r="J43" s="289" t="s">
        <v>143</v>
      </c>
      <c r="K43" s="316"/>
      <c r="L43" s="312"/>
      <c r="M43" s="169"/>
      <c r="N43" s="162"/>
      <c r="O43" s="163" t="s">
        <v>34</v>
      </c>
      <c r="P43" s="169"/>
      <c r="Q43" s="162"/>
      <c r="R43" s="163" t="s">
        <v>34</v>
      </c>
      <c r="S43" s="169"/>
      <c r="T43" s="277"/>
      <c r="U43" s="278" t="s">
        <v>34</v>
      </c>
      <c r="V43" s="169"/>
      <c r="W43" s="164"/>
      <c r="X43" s="165" t="s">
        <v>34</v>
      </c>
      <c r="Y43" s="169"/>
      <c r="Z43" s="162"/>
      <c r="AA43" s="163" t="s">
        <v>34</v>
      </c>
      <c r="AB43" s="169"/>
      <c r="AC43" s="162"/>
      <c r="AD43" s="163" t="s">
        <v>34</v>
      </c>
      <c r="AE43" s="169"/>
      <c r="AF43" s="162"/>
      <c r="AG43" s="163" t="s">
        <v>34</v>
      </c>
      <c r="AH43" s="169"/>
    </row>
    <row r="44" spans="2:34" ht="15" customHeight="1">
      <c r="B44" s="225">
        <f t="shared" si="3"/>
        <v>31</v>
      </c>
      <c r="C44" s="225" t="str">
        <f t="shared" si="2"/>
        <v>TC-EIF-SCN-31</v>
      </c>
      <c r="D44" s="318" t="s">
        <v>341</v>
      </c>
      <c r="E44" s="308" t="s">
        <v>299</v>
      </c>
      <c r="F44" s="316" t="s">
        <v>4</v>
      </c>
      <c r="G44" s="288" t="s">
        <v>144</v>
      </c>
      <c r="H44" s="288">
        <v>20109</v>
      </c>
      <c r="I44" s="288" t="s">
        <v>13</v>
      </c>
      <c r="J44" s="289" t="s">
        <v>143</v>
      </c>
      <c r="K44" s="316"/>
      <c r="L44" s="312"/>
      <c r="M44" s="169"/>
      <c r="N44" s="162"/>
      <c r="O44" s="163" t="s">
        <v>34</v>
      </c>
      <c r="P44" s="169"/>
      <c r="Q44" s="162"/>
      <c r="R44" s="163" t="s">
        <v>34</v>
      </c>
      <c r="S44" s="169"/>
      <c r="T44" s="277"/>
      <c r="U44" s="278" t="s">
        <v>34</v>
      </c>
      <c r="V44" s="169"/>
      <c r="W44" s="164"/>
      <c r="X44" s="165" t="s">
        <v>34</v>
      </c>
      <c r="Y44" s="169"/>
      <c r="Z44" s="162"/>
      <c r="AA44" s="163" t="s">
        <v>34</v>
      </c>
      <c r="AB44" s="169"/>
      <c r="AC44" s="162"/>
      <c r="AD44" s="163" t="s">
        <v>34</v>
      </c>
      <c r="AE44" s="169"/>
      <c r="AF44" s="162"/>
      <c r="AG44" s="163" t="s">
        <v>34</v>
      </c>
      <c r="AH44" s="169"/>
    </row>
    <row r="45" spans="2:34" ht="27">
      <c r="B45" s="225">
        <f t="shared" si="3"/>
        <v>32</v>
      </c>
      <c r="C45" s="225" t="str">
        <f t="shared" si="2"/>
        <v>TC-EIF-SCN-32</v>
      </c>
      <c r="D45" s="321" t="s">
        <v>342</v>
      </c>
      <c r="E45" s="308" t="s">
        <v>298</v>
      </c>
      <c r="F45" s="316" t="s">
        <v>4</v>
      </c>
      <c r="G45" s="288" t="s">
        <v>5</v>
      </c>
      <c r="H45" s="289">
        <v>20103</v>
      </c>
      <c r="I45" s="288" t="s">
        <v>13</v>
      </c>
      <c r="J45" s="289" t="s">
        <v>143</v>
      </c>
      <c r="K45" s="316"/>
      <c r="L45" s="322"/>
      <c r="M45" s="169"/>
      <c r="N45" s="162"/>
      <c r="O45" s="163" t="s">
        <v>34</v>
      </c>
      <c r="P45" s="169"/>
      <c r="Q45" s="162"/>
      <c r="R45" s="163" t="s">
        <v>34</v>
      </c>
      <c r="S45" s="169"/>
      <c r="T45" s="277"/>
      <c r="U45" s="278" t="s">
        <v>34</v>
      </c>
      <c r="V45" s="169"/>
      <c r="W45" s="164"/>
      <c r="X45" s="165" t="s">
        <v>34</v>
      </c>
      <c r="Y45" s="169"/>
      <c r="Z45" s="162"/>
      <c r="AA45" s="163" t="s">
        <v>34</v>
      </c>
      <c r="AB45" s="169"/>
      <c r="AC45" s="162"/>
      <c r="AD45" s="163" t="s">
        <v>34</v>
      </c>
      <c r="AE45" s="169"/>
      <c r="AF45" s="162"/>
      <c r="AG45" s="163" t="s">
        <v>34</v>
      </c>
      <c r="AH45" s="169"/>
    </row>
    <row r="46" spans="2:34" ht="15" customHeight="1">
      <c r="B46" s="225">
        <f t="shared" si="3"/>
        <v>33</v>
      </c>
      <c r="C46" s="225" t="str">
        <f t="shared" si="2"/>
        <v>TC-EIF-SCN-33</v>
      </c>
      <c r="D46" s="323" t="s">
        <v>343</v>
      </c>
      <c r="E46" s="308" t="s">
        <v>297</v>
      </c>
      <c r="F46" s="316" t="s">
        <v>4</v>
      </c>
      <c r="G46" s="288" t="s">
        <v>5</v>
      </c>
      <c r="H46" s="289">
        <v>20104</v>
      </c>
      <c r="I46" s="288" t="s">
        <v>13</v>
      </c>
      <c r="J46" s="289" t="s">
        <v>143</v>
      </c>
      <c r="K46" s="316"/>
      <c r="L46" s="322"/>
      <c r="M46" s="169"/>
      <c r="N46" s="162"/>
      <c r="O46" s="163" t="s">
        <v>34</v>
      </c>
      <c r="P46" s="169"/>
      <c r="Q46" s="162"/>
      <c r="R46" s="163" t="s">
        <v>34</v>
      </c>
      <c r="S46" s="169"/>
      <c r="T46" s="277"/>
      <c r="U46" s="278" t="s">
        <v>34</v>
      </c>
      <c r="V46" s="169"/>
      <c r="W46" s="164"/>
      <c r="X46" s="165" t="s">
        <v>34</v>
      </c>
      <c r="Y46" s="169"/>
      <c r="Z46" s="162"/>
      <c r="AA46" s="163" t="s">
        <v>34</v>
      </c>
      <c r="AB46" s="169"/>
      <c r="AC46" s="162"/>
      <c r="AD46" s="163" t="s">
        <v>34</v>
      </c>
      <c r="AE46" s="169"/>
      <c r="AF46" s="162"/>
      <c r="AG46" s="163" t="s">
        <v>34</v>
      </c>
      <c r="AH46" s="169"/>
    </row>
    <row r="47" spans="2:34" ht="27">
      <c r="B47" s="225">
        <f t="shared" si="3"/>
        <v>34</v>
      </c>
      <c r="C47" s="225" t="str">
        <f t="shared" si="2"/>
        <v>TC-EIF-SCN-34</v>
      </c>
      <c r="D47" s="323" t="s">
        <v>344</v>
      </c>
      <c r="E47" s="308" t="s">
        <v>296</v>
      </c>
      <c r="F47" s="316" t="s">
        <v>4</v>
      </c>
      <c r="G47" s="288" t="s">
        <v>5</v>
      </c>
      <c r="H47" s="288">
        <v>50102</v>
      </c>
      <c r="I47" s="288" t="s">
        <v>13</v>
      </c>
      <c r="J47" s="289" t="s">
        <v>143</v>
      </c>
      <c r="K47" s="316"/>
      <c r="L47" s="322"/>
      <c r="M47" s="169"/>
      <c r="N47" s="162"/>
      <c r="O47" s="163" t="s">
        <v>34</v>
      </c>
      <c r="P47" s="169"/>
      <c r="Q47" s="162"/>
      <c r="R47" s="163" t="s">
        <v>34</v>
      </c>
      <c r="S47" s="169"/>
      <c r="T47" s="277"/>
      <c r="U47" s="278" t="s">
        <v>34</v>
      </c>
      <c r="V47" s="169"/>
      <c r="W47" s="164"/>
      <c r="X47" s="165" t="s">
        <v>34</v>
      </c>
      <c r="Y47" s="169"/>
      <c r="Z47" s="162"/>
      <c r="AA47" s="163" t="s">
        <v>34</v>
      </c>
      <c r="AB47" s="169"/>
      <c r="AC47" s="162"/>
      <c r="AD47" s="163" t="s">
        <v>34</v>
      </c>
      <c r="AE47" s="169"/>
      <c r="AF47" s="162"/>
      <c r="AG47" s="163" t="s">
        <v>34</v>
      </c>
      <c r="AH47" s="169"/>
    </row>
    <row r="48" spans="2:34" ht="27">
      <c r="B48" s="225">
        <f t="shared" si="3"/>
        <v>35</v>
      </c>
      <c r="C48" s="225" t="str">
        <f t="shared" si="2"/>
        <v>TC-EIF-SCN-35</v>
      </c>
      <c r="D48" s="323" t="s">
        <v>345</v>
      </c>
      <c r="E48" s="308" t="s">
        <v>296</v>
      </c>
      <c r="F48" s="316" t="s">
        <v>4</v>
      </c>
      <c r="G48" s="288" t="s">
        <v>5</v>
      </c>
      <c r="H48" s="288">
        <v>50103</v>
      </c>
      <c r="I48" s="288" t="s">
        <v>13</v>
      </c>
      <c r="J48" s="289" t="s">
        <v>143</v>
      </c>
      <c r="K48" s="316"/>
      <c r="L48" s="322"/>
      <c r="M48" s="169"/>
      <c r="N48" s="162"/>
      <c r="O48" s="163" t="s">
        <v>34</v>
      </c>
      <c r="P48" s="169"/>
      <c r="Q48" s="162"/>
      <c r="R48" s="163" t="s">
        <v>34</v>
      </c>
      <c r="S48" s="169"/>
      <c r="T48" s="277"/>
      <c r="U48" s="278" t="s">
        <v>34</v>
      </c>
      <c r="V48" s="169"/>
      <c r="W48" s="164"/>
      <c r="X48" s="165" t="s">
        <v>34</v>
      </c>
      <c r="Y48" s="169"/>
      <c r="Z48" s="162"/>
      <c r="AA48" s="163" t="s">
        <v>34</v>
      </c>
      <c r="AB48" s="169"/>
      <c r="AC48" s="162"/>
      <c r="AD48" s="163" t="s">
        <v>34</v>
      </c>
      <c r="AE48" s="169"/>
      <c r="AF48" s="162"/>
      <c r="AG48" s="163" t="s">
        <v>34</v>
      </c>
      <c r="AH48" s="169"/>
    </row>
    <row r="49" spans="2:34" ht="18" customHeight="1">
      <c r="B49" s="225" t="str">
        <f>IF(OR(O49="-",O49="N/A"),"",COUNTA(O$5:O49)-(COUNTIF((O$5:O49),"-")+COUNTIF((O$5:O49),"N/A"))+COUNTIF((O$5:O49),""))</f>
        <v/>
      </c>
      <c r="C49" s="225" t="str">
        <f t="shared" si="2"/>
        <v/>
      </c>
      <c r="D49" s="237" t="s">
        <v>346</v>
      </c>
      <c r="E49" s="231"/>
      <c r="F49" s="231"/>
      <c r="G49" s="225"/>
      <c r="H49" s="225"/>
      <c r="I49" s="225"/>
      <c r="J49" s="225"/>
      <c r="K49" s="231"/>
      <c r="L49" s="236"/>
      <c r="M49" s="170"/>
      <c r="N49" s="160"/>
      <c r="O49" s="161" t="s">
        <v>43</v>
      </c>
      <c r="P49" s="170"/>
      <c r="Q49" s="160"/>
      <c r="R49" s="161" t="s">
        <v>43</v>
      </c>
      <c r="S49" s="170"/>
      <c r="T49" s="275"/>
      <c r="U49" s="276" t="s">
        <v>43</v>
      </c>
      <c r="V49" s="170"/>
      <c r="W49" s="160"/>
      <c r="X49" s="161" t="s">
        <v>43</v>
      </c>
      <c r="Y49" s="170"/>
      <c r="Z49" s="160"/>
      <c r="AA49" s="161" t="s">
        <v>43</v>
      </c>
      <c r="AB49" s="170"/>
      <c r="AC49" s="160"/>
      <c r="AD49" s="161" t="s">
        <v>43</v>
      </c>
      <c r="AE49" s="170"/>
      <c r="AF49" s="160"/>
      <c r="AG49" s="161" t="s">
        <v>43</v>
      </c>
      <c r="AH49" s="170"/>
    </row>
    <row r="50" spans="2:34" ht="202.5">
      <c r="B50" s="225">
        <f>B48+1</f>
        <v>36</v>
      </c>
      <c r="C50" s="225" t="str">
        <f t="shared" si="2"/>
        <v>TC-EIF-SCN-36</v>
      </c>
      <c r="D50" s="352" t="s">
        <v>347</v>
      </c>
      <c r="E50" s="341" t="s">
        <v>263</v>
      </c>
      <c r="F50" s="348"/>
      <c r="G50" s="295" t="s">
        <v>5</v>
      </c>
      <c r="H50" s="295">
        <v>10102</v>
      </c>
      <c r="I50" s="303" t="s">
        <v>12</v>
      </c>
      <c r="J50" s="295" t="s">
        <v>24</v>
      </c>
      <c r="K50" s="348"/>
      <c r="L50" s="353"/>
      <c r="M50" s="298"/>
      <c r="N50" s="345"/>
      <c r="O50" s="346" t="s">
        <v>177</v>
      </c>
      <c r="P50" s="298"/>
      <c r="Q50" s="345"/>
      <c r="R50" s="346" t="s">
        <v>177</v>
      </c>
      <c r="S50" s="298"/>
      <c r="T50" s="345"/>
      <c r="U50" s="346" t="s">
        <v>177</v>
      </c>
      <c r="V50" s="298"/>
      <c r="W50" s="345"/>
      <c r="X50" s="346" t="s">
        <v>177</v>
      </c>
      <c r="Y50" s="298"/>
      <c r="Z50" s="345"/>
      <c r="AA50" s="346" t="s">
        <v>177</v>
      </c>
      <c r="AB50" s="298"/>
      <c r="AC50" s="345"/>
      <c r="AD50" s="346" t="s">
        <v>177</v>
      </c>
      <c r="AE50" s="298"/>
      <c r="AF50" s="345"/>
      <c r="AG50" s="346" t="s">
        <v>177</v>
      </c>
      <c r="AH50" s="298"/>
    </row>
    <row r="51" spans="2:34" ht="135">
      <c r="B51" s="225">
        <f>B50+1</f>
        <v>37</v>
      </c>
      <c r="C51" s="225" t="str">
        <f t="shared" si="2"/>
        <v>TC-EIF-SCN-37</v>
      </c>
      <c r="D51" s="354" t="s">
        <v>348</v>
      </c>
      <c r="E51" s="341" t="s">
        <v>265</v>
      </c>
      <c r="F51" s="348"/>
      <c r="G51" s="295" t="s">
        <v>5</v>
      </c>
      <c r="H51" s="295">
        <v>10109</v>
      </c>
      <c r="I51" s="303" t="s">
        <v>12</v>
      </c>
      <c r="J51" s="295" t="s">
        <v>24</v>
      </c>
      <c r="K51" s="348"/>
      <c r="L51" s="353"/>
      <c r="M51" s="298"/>
      <c r="N51" s="345"/>
      <c r="O51" s="346" t="s">
        <v>177</v>
      </c>
      <c r="P51" s="298"/>
      <c r="Q51" s="345"/>
      <c r="R51" s="346" t="s">
        <v>177</v>
      </c>
      <c r="S51" s="298"/>
      <c r="T51" s="345"/>
      <c r="U51" s="346" t="s">
        <v>177</v>
      </c>
      <c r="V51" s="298"/>
      <c r="W51" s="345"/>
      <c r="X51" s="346" t="s">
        <v>177</v>
      </c>
      <c r="Y51" s="298"/>
      <c r="Z51" s="345"/>
      <c r="AA51" s="346" t="s">
        <v>177</v>
      </c>
      <c r="AB51" s="298"/>
      <c r="AC51" s="345"/>
      <c r="AD51" s="346" t="s">
        <v>177</v>
      </c>
      <c r="AE51" s="298"/>
      <c r="AF51" s="345"/>
      <c r="AG51" s="346" t="s">
        <v>177</v>
      </c>
      <c r="AH51" s="298"/>
    </row>
    <row r="52" spans="2:34" ht="27">
      <c r="B52" s="225">
        <f>B51+1</f>
        <v>38</v>
      </c>
      <c r="C52" s="225" t="str">
        <f t="shared" si="2"/>
        <v>TC-EIF-SCN-38</v>
      </c>
      <c r="D52" s="354" t="s">
        <v>349</v>
      </c>
      <c r="E52" s="341" t="s">
        <v>192</v>
      </c>
      <c r="F52" s="348"/>
      <c r="G52" s="295" t="s">
        <v>5</v>
      </c>
      <c r="H52" s="295">
        <v>50104</v>
      </c>
      <c r="I52" s="303" t="s">
        <v>12</v>
      </c>
      <c r="J52" s="295" t="s">
        <v>24</v>
      </c>
      <c r="K52" s="348"/>
      <c r="L52" s="353"/>
      <c r="M52" s="298"/>
      <c r="N52" s="345"/>
      <c r="O52" s="346" t="s">
        <v>177</v>
      </c>
      <c r="P52" s="298"/>
      <c r="Q52" s="345"/>
      <c r="R52" s="346" t="s">
        <v>177</v>
      </c>
      <c r="S52" s="298"/>
      <c r="T52" s="345"/>
      <c r="U52" s="346" t="s">
        <v>177</v>
      </c>
      <c r="V52" s="298"/>
      <c r="W52" s="345"/>
      <c r="X52" s="346" t="s">
        <v>177</v>
      </c>
      <c r="Y52" s="298"/>
      <c r="Z52" s="345"/>
      <c r="AA52" s="346" t="s">
        <v>177</v>
      </c>
      <c r="AB52" s="298"/>
      <c r="AC52" s="345"/>
      <c r="AD52" s="346" t="s">
        <v>177</v>
      </c>
      <c r="AE52" s="298"/>
      <c r="AF52" s="345"/>
      <c r="AG52" s="346" t="s">
        <v>177</v>
      </c>
      <c r="AH52" s="298"/>
    </row>
    <row r="53" spans="2:34" ht="175.5">
      <c r="B53" s="225">
        <f>B52+1</f>
        <v>39</v>
      </c>
      <c r="C53" s="225" t="str">
        <f t="shared" si="2"/>
        <v>TC-EIF-SCN-39</v>
      </c>
      <c r="D53" s="354" t="s">
        <v>350</v>
      </c>
      <c r="E53" s="341" t="s">
        <v>264</v>
      </c>
      <c r="F53" s="348"/>
      <c r="G53" s="295" t="s">
        <v>5</v>
      </c>
      <c r="H53" s="295">
        <v>10108</v>
      </c>
      <c r="I53" s="303" t="s">
        <v>12</v>
      </c>
      <c r="J53" s="295" t="s">
        <v>24</v>
      </c>
      <c r="K53" s="348"/>
      <c r="L53" s="353"/>
      <c r="M53" s="298"/>
      <c r="N53" s="345"/>
      <c r="O53" s="346" t="s">
        <v>177</v>
      </c>
      <c r="P53" s="298"/>
      <c r="Q53" s="345"/>
      <c r="R53" s="346" t="s">
        <v>177</v>
      </c>
      <c r="S53" s="298"/>
      <c r="T53" s="345"/>
      <c r="U53" s="346" t="s">
        <v>177</v>
      </c>
      <c r="V53" s="298"/>
      <c r="W53" s="345"/>
      <c r="X53" s="346" t="s">
        <v>177</v>
      </c>
      <c r="Y53" s="298"/>
      <c r="Z53" s="345"/>
      <c r="AA53" s="346" t="s">
        <v>177</v>
      </c>
      <c r="AB53" s="298"/>
      <c r="AC53" s="345"/>
      <c r="AD53" s="346" t="s">
        <v>177</v>
      </c>
      <c r="AE53" s="298"/>
      <c r="AF53" s="345"/>
      <c r="AG53" s="346" t="s">
        <v>177</v>
      </c>
      <c r="AH53" s="298"/>
    </row>
    <row r="54" spans="2:34" ht="243">
      <c r="B54" s="225">
        <f>B53+1</f>
        <v>40</v>
      </c>
      <c r="C54" s="225" t="str">
        <f t="shared" si="2"/>
        <v>TC-EIF-SCN-40</v>
      </c>
      <c r="D54" s="354" t="s">
        <v>351</v>
      </c>
      <c r="E54" s="355" t="s">
        <v>268</v>
      </c>
      <c r="F54" s="348"/>
      <c r="G54" s="295" t="s">
        <v>5</v>
      </c>
      <c r="H54" s="295">
        <v>50105</v>
      </c>
      <c r="I54" s="303" t="s">
        <v>12</v>
      </c>
      <c r="J54" s="295" t="s">
        <v>24</v>
      </c>
      <c r="K54" s="348"/>
      <c r="L54" s="353"/>
      <c r="M54" s="298"/>
      <c r="N54" s="345"/>
      <c r="O54" s="346" t="s">
        <v>177</v>
      </c>
      <c r="P54" s="298"/>
      <c r="Q54" s="345"/>
      <c r="R54" s="346" t="s">
        <v>177</v>
      </c>
      <c r="S54" s="298"/>
      <c r="T54" s="345"/>
      <c r="U54" s="346" t="s">
        <v>177</v>
      </c>
      <c r="V54" s="298"/>
      <c r="W54" s="345"/>
      <c r="X54" s="346" t="s">
        <v>177</v>
      </c>
      <c r="Y54" s="298"/>
      <c r="Z54" s="345"/>
      <c r="AA54" s="346" t="s">
        <v>177</v>
      </c>
      <c r="AB54" s="298"/>
      <c r="AC54" s="345"/>
      <c r="AD54" s="346" t="s">
        <v>177</v>
      </c>
      <c r="AE54" s="298"/>
      <c r="AF54" s="345"/>
      <c r="AG54" s="346" t="s">
        <v>177</v>
      </c>
      <c r="AH54" s="298"/>
    </row>
    <row r="55" spans="2:34" ht="18" customHeight="1">
      <c r="B55" s="225" t="str">
        <f>IF(OR(O55="-",O55="N/A"),"",COUNTA(O$5:O55)-(COUNTIF((O$5:O55),"-")+COUNTIF((O$5:O55),"N/A"))+COUNTIF((O$5:O55),""))</f>
        <v/>
      </c>
      <c r="C55" s="225" t="str">
        <f t="shared" si="2"/>
        <v/>
      </c>
      <c r="D55" s="237" t="s">
        <v>352</v>
      </c>
      <c r="E55" s="245"/>
      <c r="F55" s="231"/>
      <c r="G55" s="225"/>
      <c r="H55" s="225"/>
      <c r="I55" s="240"/>
      <c r="J55" s="240"/>
      <c r="K55" s="231"/>
      <c r="L55" s="229"/>
      <c r="M55" s="170"/>
      <c r="N55" s="160"/>
      <c r="O55" s="161" t="s">
        <v>43</v>
      </c>
      <c r="P55" s="170"/>
      <c r="Q55" s="160"/>
      <c r="R55" s="161" t="s">
        <v>43</v>
      </c>
      <c r="S55" s="170"/>
      <c r="T55" s="275"/>
      <c r="U55" s="276" t="s">
        <v>43</v>
      </c>
      <c r="V55" s="170"/>
      <c r="W55" s="160"/>
      <c r="X55" s="161" t="s">
        <v>43</v>
      </c>
      <c r="Y55" s="170"/>
      <c r="Z55" s="160"/>
      <c r="AA55" s="161" t="s">
        <v>43</v>
      </c>
      <c r="AB55" s="170"/>
      <c r="AC55" s="160"/>
      <c r="AD55" s="161" t="s">
        <v>43</v>
      </c>
      <c r="AE55" s="170"/>
      <c r="AF55" s="160"/>
      <c r="AG55" s="161" t="s">
        <v>43</v>
      </c>
      <c r="AH55" s="170"/>
    </row>
    <row r="56" spans="2:34" ht="67.5">
      <c r="B56" s="225">
        <f>B54+1</f>
        <v>41</v>
      </c>
      <c r="C56" s="225" t="str">
        <f t="shared" si="2"/>
        <v>TC-EIF-SCN-41</v>
      </c>
      <c r="D56" s="352" t="s">
        <v>353</v>
      </c>
      <c r="E56" s="341" t="s">
        <v>266</v>
      </c>
      <c r="F56" s="348"/>
      <c r="G56" s="295" t="s">
        <v>5</v>
      </c>
      <c r="H56" s="295">
        <v>10505</v>
      </c>
      <c r="I56" s="303" t="s">
        <v>12</v>
      </c>
      <c r="J56" s="295" t="s">
        <v>24</v>
      </c>
      <c r="K56" s="348"/>
      <c r="L56" s="353"/>
      <c r="M56" s="298"/>
      <c r="N56" s="345"/>
      <c r="O56" s="346" t="s">
        <v>177</v>
      </c>
      <c r="P56" s="298"/>
      <c r="Q56" s="345"/>
      <c r="R56" s="346" t="s">
        <v>177</v>
      </c>
      <c r="S56" s="298"/>
      <c r="T56" s="345"/>
      <c r="U56" s="346" t="s">
        <v>177</v>
      </c>
      <c r="V56" s="298"/>
      <c r="W56" s="345"/>
      <c r="X56" s="346" t="s">
        <v>177</v>
      </c>
      <c r="Y56" s="298"/>
      <c r="Z56" s="345"/>
      <c r="AA56" s="346" t="s">
        <v>177</v>
      </c>
      <c r="AB56" s="298"/>
      <c r="AC56" s="345"/>
      <c r="AD56" s="346" t="s">
        <v>177</v>
      </c>
      <c r="AE56" s="298"/>
      <c r="AF56" s="345"/>
      <c r="AG56" s="346" t="s">
        <v>177</v>
      </c>
      <c r="AH56" s="298"/>
    </row>
    <row r="57" spans="2:34" ht="148.5">
      <c r="B57" s="225">
        <f>B56+1</f>
        <v>42</v>
      </c>
      <c r="C57" s="225" t="str">
        <f t="shared" si="2"/>
        <v>TC-EIF-SCN-42</v>
      </c>
      <c r="D57" s="354" t="s">
        <v>354</v>
      </c>
      <c r="E57" s="341" t="s">
        <v>267</v>
      </c>
      <c r="F57" s="348"/>
      <c r="G57" s="295" t="s">
        <v>5</v>
      </c>
      <c r="H57" s="295">
        <v>10202</v>
      </c>
      <c r="I57" s="303" t="s">
        <v>12</v>
      </c>
      <c r="J57" s="295" t="s">
        <v>24</v>
      </c>
      <c r="K57" s="348"/>
      <c r="L57" s="353"/>
      <c r="M57" s="298"/>
      <c r="N57" s="345"/>
      <c r="O57" s="346" t="s">
        <v>177</v>
      </c>
      <c r="P57" s="298"/>
      <c r="Q57" s="345"/>
      <c r="R57" s="346" t="s">
        <v>177</v>
      </c>
      <c r="S57" s="298"/>
      <c r="T57" s="345"/>
      <c r="U57" s="346" t="s">
        <v>177</v>
      </c>
      <c r="V57" s="298"/>
      <c r="W57" s="345"/>
      <c r="X57" s="346" t="s">
        <v>177</v>
      </c>
      <c r="Y57" s="298"/>
      <c r="Z57" s="345"/>
      <c r="AA57" s="346" t="s">
        <v>177</v>
      </c>
      <c r="AB57" s="298"/>
      <c r="AC57" s="345"/>
      <c r="AD57" s="346" t="s">
        <v>177</v>
      </c>
      <c r="AE57" s="298"/>
      <c r="AF57" s="345"/>
      <c r="AG57" s="346" t="s">
        <v>177</v>
      </c>
      <c r="AH57" s="298"/>
    </row>
    <row r="58" spans="2:34" ht="18" customHeight="1">
      <c r="B58" s="225">
        <f>B57+1</f>
        <v>43</v>
      </c>
      <c r="C58" s="225" t="str">
        <f t="shared" si="2"/>
        <v>TC-EIF-SCN-43</v>
      </c>
      <c r="D58" s="356" t="s">
        <v>355</v>
      </c>
      <c r="E58" s="357"/>
      <c r="F58" s="358"/>
      <c r="G58" s="295"/>
      <c r="H58" s="295"/>
      <c r="I58" s="359"/>
      <c r="J58" s="359"/>
      <c r="K58" s="358"/>
      <c r="L58" s="360"/>
      <c r="M58" s="298"/>
      <c r="N58" s="345"/>
      <c r="O58" s="346" t="s">
        <v>177</v>
      </c>
      <c r="P58" s="298"/>
      <c r="Q58" s="345"/>
      <c r="R58" s="346" t="s">
        <v>177</v>
      </c>
      <c r="S58" s="298"/>
      <c r="T58" s="345"/>
      <c r="U58" s="346" t="s">
        <v>177</v>
      </c>
      <c r="V58" s="298"/>
      <c r="W58" s="345"/>
      <c r="X58" s="346" t="s">
        <v>177</v>
      </c>
      <c r="Y58" s="298"/>
      <c r="Z58" s="345"/>
      <c r="AA58" s="346" t="s">
        <v>177</v>
      </c>
      <c r="AB58" s="298"/>
      <c r="AC58" s="345"/>
      <c r="AD58" s="346" t="s">
        <v>177</v>
      </c>
      <c r="AE58" s="298"/>
      <c r="AF58" s="345"/>
      <c r="AG58" s="346" t="s">
        <v>177</v>
      </c>
      <c r="AH58" s="298"/>
    </row>
    <row r="59" spans="2:34" ht="30" customHeight="1">
      <c r="B59" s="225">
        <f>B58+1</f>
        <v>44</v>
      </c>
      <c r="C59" s="225" t="str">
        <f t="shared" si="2"/>
        <v>TC-EIF-SCN-44</v>
      </c>
      <c r="D59" s="352" t="s">
        <v>356</v>
      </c>
      <c r="E59" s="341" t="s">
        <v>193</v>
      </c>
      <c r="F59" s="348"/>
      <c r="G59" s="295" t="s">
        <v>5</v>
      </c>
      <c r="H59" s="295">
        <v>50105</v>
      </c>
      <c r="I59" s="303" t="s">
        <v>12</v>
      </c>
      <c r="J59" s="295" t="s">
        <v>24</v>
      </c>
      <c r="K59" s="348"/>
      <c r="L59" s="353"/>
      <c r="M59" s="298"/>
      <c r="N59" s="345"/>
      <c r="O59" s="346" t="s">
        <v>177</v>
      </c>
      <c r="P59" s="298"/>
      <c r="Q59" s="345"/>
      <c r="R59" s="346" t="s">
        <v>177</v>
      </c>
      <c r="S59" s="298"/>
      <c r="T59" s="345"/>
      <c r="U59" s="346" t="s">
        <v>177</v>
      </c>
      <c r="V59" s="298"/>
      <c r="W59" s="345"/>
      <c r="X59" s="346" t="s">
        <v>177</v>
      </c>
      <c r="Y59" s="298"/>
      <c r="Z59" s="345"/>
      <c r="AA59" s="346" t="s">
        <v>177</v>
      </c>
      <c r="AB59" s="298"/>
      <c r="AC59" s="345"/>
      <c r="AD59" s="346" t="s">
        <v>177</v>
      </c>
      <c r="AE59" s="298"/>
      <c r="AF59" s="345"/>
      <c r="AG59" s="346" t="s">
        <v>177</v>
      </c>
      <c r="AH59" s="298"/>
    </row>
    <row r="60" spans="2:34" ht="18" customHeight="1">
      <c r="B60" s="225" t="str">
        <f>IF(OR(O60="-",O60="N/A"),"",COUNTA(O$5:O60)-(COUNTIF((O$5:O60),"-")+COUNTIF((O$5:O60),"N/A"))+COUNTIF((O$5:O60),""))</f>
        <v/>
      </c>
      <c r="C60" s="225" t="str">
        <f t="shared" si="2"/>
        <v/>
      </c>
      <c r="D60" s="237" t="s">
        <v>357</v>
      </c>
      <c r="E60" s="231"/>
      <c r="F60" s="231"/>
      <c r="G60" s="225"/>
      <c r="H60" s="225"/>
      <c r="I60" s="225"/>
      <c r="J60" s="225"/>
      <c r="K60" s="231"/>
      <c r="L60" s="229"/>
      <c r="M60" s="170"/>
      <c r="N60" s="160"/>
      <c r="O60" s="161" t="s">
        <v>43</v>
      </c>
      <c r="P60" s="170"/>
      <c r="Q60" s="160"/>
      <c r="R60" s="161" t="s">
        <v>43</v>
      </c>
      <c r="S60" s="170"/>
      <c r="T60" s="275"/>
      <c r="U60" s="276" t="s">
        <v>43</v>
      </c>
      <c r="V60" s="170"/>
      <c r="W60" s="160"/>
      <c r="X60" s="161" t="s">
        <v>43</v>
      </c>
      <c r="Y60" s="170"/>
      <c r="Z60" s="160"/>
      <c r="AA60" s="161" t="s">
        <v>43</v>
      </c>
      <c r="AB60" s="170"/>
      <c r="AC60" s="160"/>
      <c r="AD60" s="161" t="s">
        <v>43</v>
      </c>
      <c r="AE60" s="170"/>
      <c r="AF60" s="160"/>
      <c r="AG60" s="161" t="s">
        <v>43</v>
      </c>
      <c r="AH60" s="170"/>
    </row>
    <row r="61" spans="2:34" ht="67.5">
      <c r="B61" s="225">
        <f>B59+1</f>
        <v>45</v>
      </c>
      <c r="C61" s="225" t="str">
        <f t="shared" si="2"/>
        <v>TC-EIF-SCN-45</v>
      </c>
      <c r="D61" s="318" t="s">
        <v>358</v>
      </c>
      <c r="E61" s="308" t="s">
        <v>291</v>
      </c>
      <c r="F61" s="316"/>
      <c r="G61" s="288" t="s">
        <v>292</v>
      </c>
      <c r="H61" s="289"/>
      <c r="I61" s="288" t="s">
        <v>12</v>
      </c>
      <c r="J61" s="289" t="s">
        <v>24</v>
      </c>
      <c r="K61" s="316"/>
      <c r="L61" s="312"/>
      <c r="M61" s="169"/>
      <c r="N61" s="162"/>
      <c r="O61" s="163" t="s">
        <v>34</v>
      </c>
      <c r="P61" s="169"/>
      <c r="Q61" s="162"/>
      <c r="R61" s="163" t="s">
        <v>34</v>
      </c>
      <c r="S61" s="169"/>
      <c r="T61" s="277"/>
      <c r="U61" s="278" t="s">
        <v>34</v>
      </c>
      <c r="V61" s="169"/>
      <c r="W61" s="162"/>
      <c r="X61" s="163" t="s">
        <v>34</v>
      </c>
      <c r="Y61" s="169"/>
      <c r="Z61" s="162"/>
      <c r="AA61" s="163" t="s">
        <v>34</v>
      </c>
      <c r="AB61" s="169"/>
      <c r="AC61" s="162"/>
      <c r="AD61" s="163" t="s">
        <v>34</v>
      </c>
      <c r="AE61" s="169"/>
      <c r="AF61" s="162"/>
      <c r="AG61" s="163" t="s">
        <v>34</v>
      </c>
      <c r="AH61" s="169"/>
    </row>
    <row r="62" spans="2:34" ht="30" customHeight="1">
      <c r="B62" s="225">
        <f>B61+1</f>
        <v>46</v>
      </c>
      <c r="C62" s="225" t="str">
        <f t="shared" si="2"/>
        <v>TC-EIF-SCN-46</v>
      </c>
      <c r="D62" s="318" t="s">
        <v>359</v>
      </c>
      <c r="E62" s="308" t="s">
        <v>82</v>
      </c>
      <c r="F62" s="319"/>
      <c r="G62" s="289" t="s">
        <v>84</v>
      </c>
      <c r="H62" s="289"/>
      <c r="I62" s="288" t="s">
        <v>12</v>
      </c>
      <c r="J62" s="289" t="s">
        <v>24</v>
      </c>
      <c r="K62" s="319"/>
      <c r="L62" s="312"/>
      <c r="M62" s="169"/>
      <c r="N62" s="162"/>
      <c r="O62" s="163" t="s">
        <v>34</v>
      </c>
      <c r="P62" s="169"/>
      <c r="Q62" s="162"/>
      <c r="R62" s="163" t="s">
        <v>34</v>
      </c>
      <c r="S62" s="169"/>
      <c r="T62" s="277"/>
      <c r="U62" s="278" t="s">
        <v>34</v>
      </c>
      <c r="V62" s="169"/>
      <c r="W62" s="162"/>
      <c r="X62" s="163" t="s">
        <v>34</v>
      </c>
      <c r="Y62" s="169"/>
      <c r="Z62" s="162"/>
      <c r="AA62" s="163" t="s">
        <v>34</v>
      </c>
      <c r="AB62" s="169"/>
      <c r="AC62" s="162"/>
      <c r="AD62" s="163" t="s">
        <v>34</v>
      </c>
      <c r="AE62" s="169"/>
      <c r="AF62" s="162"/>
      <c r="AG62" s="163" t="s">
        <v>34</v>
      </c>
      <c r="AH62" s="169"/>
    </row>
  </sheetData>
  <autoFilter ref="B4:K59" xr:uid="{00000000-0009-0000-0000-000004000000}"/>
  <mergeCells count="18">
    <mergeCell ref="Z3:AB3"/>
    <mergeCell ref="AC3:AE3"/>
    <mergeCell ref="AF3:AH3"/>
    <mergeCell ref="M3:M4"/>
    <mergeCell ref="N3:P3"/>
    <mergeCell ref="Q3:S3"/>
    <mergeCell ref="T3:V3"/>
    <mergeCell ref="W3:Y3"/>
    <mergeCell ref="B3:B4"/>
    <mergeCell ref="D3:D4"/>
    <mergeCell ref="E3:E4"/>
    <mergeCell ref="F3:F4"/>
    <mergeCell ref="G3:G4"/>
    <mergeCell ref="K3:K4"/>
    <mergeCell ref="C3:C4"/>
    <mergeCell ref="H3:H4"/>
    <mergeCell ref="I3:I4"/>
    <mergeCell ref="J3:J4"/>
  </mergeCells>
  <phoneticPr fontId="1" type="noConversion"/>
  <conditionalFormatting sqref="E36:E37">
    <cfRule type="expression" dxfId="311" priority="31118" stopIfTrue="1">
      <formula>$J36="N"</formula>
    </cfRule>
  </conditionalFormatting>
  <conditionalFormatting sqref="E39:E40">
    <cfRule type="expression" dxfId="310" priority="31090" stopIfTrue="1">
      <formula>$J39="N"</formula>
    </cfRule>
  </conditionalFormatting>
  <conditionalFormatting sqref="N7:N9 N27:N28 Q27:Q28 T27:T28 W27:W28 Z27:Z28 AC27:AC28 AF27:AF28 N30:N31 Q30:Q31 T30:T31 W30:W31 Z30:Z31 AC30:AC31 AF30:AF31 N61:N62 Q61:Q62 T61:T62 W61:W62 Z61:Z62 AC61:AC62 AF61:AF62">
    <cfRule type="cellIs" dxfId="309" priority="1025" operator="equal">
      <formula>"Skip"</formula>
    </cfRule>
    <cfRule type="cellIs" dxfId="308" priority="1026" operator="equal">
      <formula>"NG"</formula>
    </cfRule>
    <cfRule type="expression" dxfId="307" priority="1029">
      <formula>#REF!="N/A"</formula>
    </cfRule>
    <cfRule type="cellIs" dxfId="306" priority="1027" operator="equal">
      <formula>"N/A"</formula>
    </cfRule>
    <cfRule type="cellIs" dxfId="305" priority="1028" operator="equal">
      <formula>"OK"</formula>
    </cfRule>
  </conditionalFormatting>
  <conditionalFormatting sqref="N11:N13">
    <cfRule type="cellIs" dxfId="304" priority="964" operator="equal">
      <formula>"N/A"</formula>
    </cfRule>
    <cfRule type="cellIs" dxfId="303" priority="963" operator="equal">
      <formula>"NG"</formula>
    </cfRule>
    <cfRule type="cellIs" dxfId="302" priority="962" operator="equal">
      <formula>"Skip"</formula>
    </cfRule>
    <cfRule type="cellIs" dxfId="301" priority="965" operator="equal">
      <formula>"OK"</formula>
    </cfRule>
    <cfRule type="expression" dxfId="300" priority="966">
      <formula>#REF!="N/A"</formula>
    </cfRule>
  </conditionalFormatting>
  <conditionalFormatting sqref="N15:N16">
    <cfRule type="cellIs" dxfId="299" priority="902" operator="equal">
      <formula>"OK"</formula>
    </cfRule>
    <cfRule type="expression" dxfId="298" priority="903">
      <formula>#REF!="N/A"</formula>
    </cfRule>
    <cfRule type="cellIs" dxfId="297" priority="901" operator="equal">
      <formula>"N/A"</formula>
    </cfRule>
    <cfRule type="cellIs" dxfId="296" priority="900" operator="equal">
      <formula>"NG"</formula>
    </cfRule>
    <cfRule type="cellIs" dxfId="295" priority="899" operator="equal">
      <formula>"Skip"</formula>
    </cfRule>
  </conditionalFormatting>
  <conditionalFormatting sqref="N18:N25">
    <cfRule type="cellIs" dxfId="294" priority="395" operator="equal">
      <formula>"Skip"</formula>
    </cfRule>
    <cfRule type="cellIs" dxfId="293" priority="398" operator="equal">
      <formula>"OK"</formula>
    </cfRule>
    <cfRule type="expression" dxfId="292" priority="399">
      <formula>#REF!="N/A"</formula>
    </cfRule>
    <cfRule type="cellIs" dxfId="291" priority="396" operator="equal">
      <formula>"NG"</formula>
    </cfRule>
    <cfRule type="cellIs" dxfId="290" priority="397" operator="equal">
      <formula>"N/A"</formula>
    </cfRule>
  </conditionalFormatting>
  <conditionalFormatting sqref="N33">
    <cfRule type="cellIs" dxfId="289" priority="584" operator="equal">
      <formula>"Skip"</formula>
    </cfRule>
    <cfRule type="cellIs" dxfId="288" priority="585" operator="equal">
      <formula>"NG"</formula>
    </cfRule>
    <cfRule type="cellIs" dxfId="287" priority="587" operator="equal">
      <formula>"OK"</formula>
    </cfRule>
    <cfRule type="expression" dxfId="286" priority="588">
      <formula>#REF!="N/A"</formula>
    </cfRule>
    <cfRule type="cellIs" dxfId="285" priority="586" operator="equal">
      <formula>"N/A"</formula>
    </cfRule>
  </conditionalFormatting>
  <conditionalFormatting sqref="N35:N48 AA49:AA62">
    <cfRule type="cellIs" dxfId="284" priority="9229" operator="equal">
      <formula>"NG"</formula>
    </cfRule>
    <cfRule type="cellIs" dxfId="283" priority="9228" operator="equal">
      <formula>"Skip"</formula>
    </cfRule>
  </conditionalFormatting>
  <conditionalFormatting sqref="N35:N48">
    <cfRule type="cellIs" dxfId="282" priority="8643" operator="equal">
      <formula>"N/A"</formula>
    </cfRule>
    <cfRule type="expression" dxfId="281" priority="9232">
      <formula>#REF!="N/A"</formula>
    </cfRule>
    <cfRule type="cellIs" dxfId="280" priority="8644" operator="equal">
      <formula>"OK"</formula>
    </cfRule>
  </conditionalFormatting>
  <conditionalFormatting sqref="N50:N54">
    <cfRule type="cellIs" dxfId="279" priority="522" operator="equal">
      <formula>"NG"</formula>
    </cfRule>
    <cfRule type="cellIs" dxfId="278" priority="523" operator="equal">
      <formula>"N/A"</formula>
    </cfRule>
    <cfRule type="cellIs" dxfId="277" priority="524" operator="equal">
      <formula>"OK"</formula>
    </cfRule>
    <cfRule type="expression" dxfId="276" priority="525">
      <formula>#REF!="N/A"</formula>
    </cfRule>
    <cfRule type="cellIs" dxfId="275" priority="521" operator="equal">
      <formula>"Skip"</formula>
    </cfRule>
  </conditionalFormatting>
  <conditionalFormatting sqref="N56:N59">
    <cfRule type="cellIs" dxfId="274" priority="458" operator="equal">
      <formula>"Skip"</formula>
    </cfRule>
    <cfRule type="cellIs" dxfId="273" priority="459" operator="equal">
      <formula>"NG"</formula>
    </cfRule>
    <cfRule type="cellIs" dxfId="272" priority="461" operator="equal">
      <formula>"OK"</formula>
    </cfRule>
    <cfRule type="expression" dxfId="271" priority="462">
      <formula>#REF!="N/A"</formula>
    </cfRule>
    <cfRule type="cellIs" dxfId="270" priority="460" operator="equal">
      <formula>"N/A"</formula>
    </cfRule>
  </conditionalFormatting>
  <conditionalFormatting sqref="O5:O62">
    <cfRule type="cellIs" dxfId="269" priority="2" operator="equal">
      <formula>"NG"</formula>
    </cfRule>
    <cfRule type="cellIs" dxfId="268" priority="3" operator="equal">
      <formula>"N/A"</formula>
    </cfRule>
    <cfRule type="cellIs" dxfId="267" priority="4" operator="equal">
      <formula>"OK"</formula>
    </cfRule>
    <cfRule type="cellIs" dxfId="266" priority="1" operator="equal">
      <formula>"Skip"</formula>
    </cfRule>
  </conditionalFormatting>
  <conditionalFormatting sqref="Q7:Q9">
    <cfRule type="cellIs" dxfId="265" priority="1012" operator="equal">
      <formula>"NG"</formula>
    </cfRule>
    <cfRule type="cellIs" dxfId="264" priority="1011" operator="equal">
      <formula>"Skip"</formula>
    </cfRule>
    <cfRule type="cellIs" dxfId="263" priority="1013" operator="equal">
      <formula>"N/A"</formula>
    </cfRule>
    <cfRule type="cellIs" dxfId="262" priority="1014" operator="equal">
      <formula>"OK"</formula>
    </cfRule>
    <cfRule type="expression" dxfId="261" priority="1015">
      <formula>#REF!="N/A"</formula>
    </cfRule>
  </conditionalFormatting>
  <conditionalFormatting sqref="Q11:Q13">
    <cfRule type="cellIs" dxfId="260" priority="949" operator="equal">
      <formula>"NG"</formula>
    </cfRule>
    <cfRule type="expression" dxfId="259" priority="952">
      <formula>#REF!="N/A"</formula>
    </cfRule>
    <cfRule type="cellIs" dxfId="258" priority="951" operator="equal">
      <formula>"OK"</formula>
    </cfRule>
    <cfRule type="cellIs" dxfId="257" priority="948" operator="equal">
      <formula>"Skip"</formula>
    </cfRule>
    <cfRule type="cellIs" dxfId="256" priority="950" operator="equal">
      <formula>"N/A"</formula>
    </cfRule>
  </conditionalFormatting>
  <conditionalFormatting sqref="Q15:Q16">
    <cfRule type="expression" dxfId="255" priority="889">
      <formula>#REF!="N/A"</formula>
    </cfRule>
    <cfRule type="cellIs" dxfId="254" priority="888" operator="equal">
      <formula>"OK"</formula>
    </cfRule>
    <cfRule type="cellIs" dxfId="253" priority="887" operator="equal">
      <formula>"N/A"</formula>
    </cfRule>
    <cfRule type="cellIs" dxfId="252" priority="886" operator="equal">
      <formula>"NG"</formula>
    </cfRule>
    <cfRule type="cellIs" dxfId="251" priority="885" operator="equal">
      <formula>"Skip"</formula>
    </cfRule>
  </conditionalFormatting>
  <conditionalFormatting sqref="Q18:Q25">
    <cfRule type="cellIs" dxfId="250" priority="388" operator="equal">
      <formula>"N/A"</formula>
    </cfRule>
    <cfRule type="expression" dxfId="249" priority="390">
      <formula>#REF!="N/A"</formula>
    </cfRule>
    <cfRule type="cellIs" dxfId="248" priority="387" operator="equal">
      <formula>"NG"</formula>
    </cfRule>
    <cfRule type="cellIs" dxfId="247" priority="386" operator="equal">
      <formula>"Skip"</formula>
    </cfRule>
    <cfRule type="cellIs" dxfId="246" priority="389" operator="equal">
      <formula>"OK"</formula>
    </cfRule>
  </conditionalFormatting>
  <conditionalFormatting sqref="Q33">
    <cfRule type="cellIs" dxfId="245" priority="570" operator="equal">
      <formula>"Skip"</formula>
    </cfRule>
    <cfRule type="cellIs" dxfId="244" priority="571" operator="equal">
      <formula>"NG"</formula>
    </cfRule>
    <cfRule type="cellIs" dxfId="243" priority="572" operator="equal">
      <formula>"N/A"</formula>
    </cfRule>
    <cfRule type="cellIs" dxfId="242" priority="573" operator="equal">
      <formula>"OK"</formula>
    </cfRule>
    <cfRule type="expression" dxfId="241" priority="574">
      <formula>#REF!="N/A"</formula>
    </cfRule>
  </conditionalFormatting>
  <conditionalFormatting sqref="Q35:Q48">
    <cfRule type="cellIs" dxfId="240" priority="8635" operator="equal">
      <formula>"OK"</formula>
    </cfRule>
    <cfRule type="cellIs" dxfId="239" priority="8634" operator="equal">
      <formula>"N/A"</formula>
    </cfRule>
    <cfRule type="cellIs" dxfId="238" priority="8633" operator="equal">
      <formula>"NG"</formula>
    </cfRule>
    <cfRule type="cellIs" dxfId="237" priority="8632" operator="equal">
      <formula>"Skip"</formula>
    </cfRule>
    <cfRule type="expression" dxfId="236" priority="8636">
      <formula>#REF!="N/A"</formula>
    </cfRule>
  </conditionalFormatting>
  <conditionalFormatting sqref="Q50:Q54">
    <cfRule type="cellIs" dxfId="235" priority="510" operator="equal">
      <formula>"OK"</formula>
    </cfRule>
    <cfRule type="cellIs" dxfId="234" priority="507" operator="equal">
      <formula>"Skip"</formula>
    </cfRule>
    <cfRule type="cellIs" dxfId="233" priority="508" operator="equal">
      <formula>"NG"</formula>
    </cfRule>
    <cfRule type="cellIs" dxfId="232" priority="509" operator="equal">
      <formula>"N/A"</formula>
    </cfRule>
    <cfRule type="expression" dxfId="231" priority="511">
      <formula>#REF!="N/A"</formula>
    </cfRule>
  </conditionalFormatting>
  <conditionalFormatting sqref="Q56:Q59">
    <cfRule type="cellIs" dxfId="230" priority="445" operator="equal">
      <formula>"NG"</formula>
    </cfRule>
    <cfRule type="cellIs" dxfId="229" priority="447" operator="equal">
      <formula>"OK"</formula>
    </cfRule>
    <cfRule type="cellIs" dxfId="228" priority="446" operator="equal">
      <formula>"N/A"</formula>
    </cfRule>
    <cfRule type="cellIs" dxfId="227" priority="444" operator="equal">
      <formula>"Skip"</formula>
    </cfRule>
    <cfRule type="expression" dxfId="226" priority="448">
      <formula>#REF!="N/A"</formula>
    </cfRule>
  </conditionalFormatting>
  <conditionalFormatting sqref="R5:R62">
    <cfRule type="cellIs" dxfId="225" priority="25" operator="equal">
      <formula>"N/A"</formula>
    </cfRule>
    <cfRule type="cellIs" dxfId="224" priority="26" operator="equal">
      <formula>"OK"</formula>
    </cfRule>
    <cfRule type="cellIs" dxfId="223" priority="27" operator="equal">
      <formula>"Skip"</formula>
    </cfRule>
    <cfRule type="cellIs" dxfId="222" priority="28" operator="equal">
      <formula>"NG"</formula>
    </cfRule>
  </conditionalFormatting>
  <conditionalFormatting sqref="T7:T9">
    <cfRule type="expression" dxfId="221" priority="1006">
      <formula>#REF!="N/A"</formula>
    </cfRule>
    <cfRule type="cellIs" dxfId="220" priority="1005" operator="equal">
      <formula>"OK"</formula>
    </cfRule>
    <cfRule type="cellIs" dxfId="219" priority="1004" operator="equal">
      <formula>"N/A"</formula>
    </cfRule>
    <cfRule type="cellIs" dxfId="218" priority="1002" operator="equal">
      <formula>"Skip"</formula>
    </cfRule>
    <cfRule type="cellIs" dxfId="217" priority="1003" operator="equal">
      <formula>"NG"</formula>
    </cfRule>
  </conditionalFormatting>
  <conditionalFormatting sqref="T11:T13">
    <cfRule type="expression" dxfId="216" priority="943">
      <formula>#REF!="N/A"</formula>
    </cfRule>
    <cfRule type="cellIs" dxfId="215" priority="942" operator="equal">
      <formula>"OK"</formula>
    </cfRule>
    <cfRule type="cellIs" dxfId="214" priority="941" operator="equal">
      <formula>"N/A"</formula>
    </cfRule>
    <cfRule type="cellIs" dxfId="213" priority="940" operator="equal">
      <formula>"NG"</formula>
    </cfRule>
    <cfRule type="cellIs" dxfId="212" priority="939" operator="equal">
      <formula>"Skip"</formula>
    </cfRule>
  </conditionalFormatting>
  <conditionalFormatting sqref="T15:T16">
    <cfRule type="cellIs" dxfId="211" priority="876" operator="equal">
      <formula>"Skip"</formula>
    </cfRule>
    <cfRule type="cellIs" dxfId="210" priority="877" operator="equal">
      <formula>"NG"</formula>
    </cfRule>
    <cfRule type="expression" dxfId="209" priority="880">
      <formula>#REF!="N/A"</formula>
    </cfRule>
    <cfRule type="cellIs" dxfId="208" priority="878" operator="equal">
      <formula>"N/A"</formula>
    </cfRule>
    <cfRule type="cellIs" dxfId="207" priority="879" operator="equal">
      <formula>"OK"</formula>
    </cfRule>
  </conditionalFormatting>
  <conditionalFormatting sqref="T18:T25">
    <cfRule type="expression" dxfId="206" priority="333">
      <formula>#REF!="N/A"</formula>
    </cfRule>
    <cfRule type="cellIs" dxfId="205" priority="332" operator="equal">
      <formula>"OK"</formula>
    </cfRule>
    <cfRule type="cellIs" dxfId="204" priority="331" operator="equal">
      <formula>"N/A"</formula>
    </cfRule>
    <cfRule type="cellIs" dxfId="203" priority="330" operator="equal">
      <formula>"NG"</formula>
    </cfRule>
    <cfRule type="cellIs" dxfId="202" priority="329" operator="equal">
      <formula>"Skip"</formula>
    </cfRule>
  </conditionalFormatting>
  <conditionalFormatting sqref="T33">
    <cfRule type="expression" dxfId="201" priority="565">
      <formula>#REF!="N/A"</formula>
    </cfRule>
    <cfRule type="cellIs" dxfId="200" priority="564" operator="equal">
      <formula>"OK"</formula>
    </cfRule>
    <cfRule type="cellIs" dxfId="199" priority="563" operator="equal">
      <formula>"N/A"</formula>
    </cfRule>
    <cfRule type="cellIs" dxfId="198" priority="562" operator="equal">
      <formula>"NG"</formula>
    </cfRule>
    <cfRule type="cellIs" dxfId="197" priority="561" operator="equal">
      <formula>"Skip"</formula>
    </cfRule>
  </conditionalFormatting>
  <conditionalFormatting sqref="T35:T48">
    <cfRule type="cellIs" dxfId="196" priority="4713" operator="equal">
      <formula>"Skip"</formula>
    </cfRule>
    <cfRule type="cellIs" dxfId="195" priority="4714" operator="equal">
      <formula>"NG"</formula>
    </cfRule>
    <cfRule type="cellIs" dxfId="194" priority="4716" operator="equal">
      <formula>"OK"</formula>
    </cfRule>
    <cfRule type="expression" dxfId="193" priority="4717">
      <formula>#REF!="N/A"</formula>
    </cfRule>
    <cfRule type="cellIs" dxfId="192" priority="4715" operator="equal">
      <formula>"N/A"</formula>
    </cfRule>
  </conditionalFormatting>
  <conditionalFormatting sqref="T50:T54">
    <cfRule type="cellIs" dxfId="191" priority="499" operator="equal">
      <formula>"NG"</formula>
    </cfRule>
    <cfRule type="cellIs" dxfId="190" priority="498" operator="equal">
      <formula>"Skip"</formula>
    </cfRule>
    <cfRule type="expression" dxfId="189" priority="502">
      <formula>#REF!="N/A"</formula>
    </cfRule>
    <cfRule type="cellIs" dxfId="188" priority="501" operator="equal">
      <formula>"OK"</formula>
    </cfRule>
    <cfRule type="cellIs" dxfId="187" priority="500" operator="equal">
      <formula>"N/A"</formula>
    </cfRule>
  </conditionalFormatting>
  <conditionalFormatting sqref="T56:T59">
    <cfRule type="cellIs" dxfId="186" priority="438" operator="equal">
      <formula>"OK"</formula>
    </cfRule>
    <cfRule type="expression" dxfId="185" priority="439">
      <formula>#REF!="N/A"</formula>
    </cfRule>
    <cfRule type="cellIs" dxfId="184" priority="435" operator="equal">
      <formula>"Skip"</formula>
    </cfRule>
    <cfRule type="cellIs" dxfId="183" priority="436" operator="equal">
      <formula>"NG"</formula>
    </cfRule>
    <cfRule type="cellIs" dxfId="182" priority="437" operator="equal">
      <formula>"N/A"</formula>
    </cfRule>
  </conditionalFormatting>
  <conditionalFormatting sqref="U5:U62">
    <cfRule type="cellIs" dxfId="181" priority="29" operator="equal">
      <formula>"N/A"</formula>
    </cfRule>
    <cfRule type="cellIs" dxfId="180" priority="31" operator="equal">
      <formula>"Skip"</formula>
    </cfRule>
    <cfRule type="cellIs" dxfId="179" priority="32" operator="equal">
      <formula>"NG"</formula>
    </cfRule>
    <cfRule type="cellIs" dxfId="178" priority="30" operator="equal">
      <formula>"OK"</formula>
    </cfRule>
  </conditionalFormatting>
  <conditionalFormatting sqref="W7:W9">
    <cfRule type="expression" dxfId="177" priority="997">
      <formula>#REF!="N/A"</formula>
    </cfRule>
    <cfRule type="cellIs" dxfId="176" priority="996" operator="equal">
      <formula>"OK"</formula>
    </cfRule>
    <cfRule type="cellIs" dxfId="175" priority="995" operator="equal">
      <formula>"N/A"</formula>
    </cfRule>
    <cfRule type="cellIs" dxfId="174" priority="994" operator="equal">
      <formula>"NG"</formula>
    </cfRule>
    <cfRule type="cellIs" dxfId="173" priority="993" operator="equal">
      <formula>"Skip"</formula>
    </cfRule>
  </conditionalFormatting>
  <conditionalFormatting sqref="W11:W13">
    <cfRule type="expression" dxfId="172" priority="934">
      <formula>#REF!="N/A"</formula>
    </cfRule>
    <cfRule type="cellIs" dxfId="171" priority="933" operator="equal">
      <formula>"OK"</formula>
    </cfRule>
    <cfRule type="cellIs" dxfId="170" priority="931" operator="equal">
      <formula>"NG"</formula>
    </cfRule>
    <cfRule type="cellIs" dxfId="169" priority="930" operator="equal">
      <formula>"Skip"</formula>
    </cfRule>
    <cfRule type="cellIs" dxfId="168" priority="932" operator="equal">
      <formula>"N/A"</formula>
    </cfRule>
  </conditionalFormatting>
  <conditionalFormatting sqref="W15:W16">
    <cfRule type="cellIs" dxfId="167" priority="870" operator="equal">
      <formula>"OK"</formula>
    </cfRule>
    <cfRule type="cellIs" dxfId="166" priority="869" operator="equal">
      <formula>"N/A"</formula>
    </cfRule>
    <cfRule type="cellIs" dxfId="165" priority="868" operator="equal">
      <formula>"NG"</formula>
    </cfRule>
    <cfRule type="cellIs" dxfId="164" priority="867" operator="equal">
      <formula>"Skip"</formula>
    </cfRule>
    <cfRule type="expression" dxfId="163" priority="871">
      <formula>#REF!="N/A"</formula>
    </cfRule>
  </conditionalFormatting>
  <conditionalFormatting sqref="W18:W25">
    <cfRule type="expression" dxfId="162" priority="377">
      <formula>#REF!="N/A"</formula>
    </cfRule>
    <cfRule type="cellIs" dxfId="161" priority="376" operator="equal">
      <formula>"OK"</formula>
    </cfRule>
    <cfRule type="cellIs" dxfId="160" priority="375" operator="equal">
      <formula>"N/A"</formula>
    </cfRule>
    <cfRule type="cellIs" dxfId="159" priority="374" operator="equal">
      <formula>"NG"</formula>
    </cfRule>
    <cfRule type="cellIs" dxfId="158" priority="373" operator="equal">
      <formula>"Skip"</formula>
    </cfRule>
  </conditionalFormatting>
  <conditionalFormatting sqref="W33">
    <cfRule type="cellIs" dxfId="157" priority="553" operator="equal">
      <formula>"NG"</formula>
    </cfRule>
    <cfRule type="cellIs" dxfId="156" priority="554" operator="equal">
      <formula>"N/A"</formula>
    </cfRule>
    <cfRule type="cellIs" dxfId="155" priority="552" operator="equal">
      <formula>"Skip"</formula>
    </cfRule>
    <cfRule type="expression" dxfId="154" priority="556">
      <formula>#REF!="N/A"</formula>
    </cfRule>
    <cfRule type="cellIs" dxfId="153" priority="555" operator="equal">
      <formula>"OK"</formula>
    </cfRule>
  </conditionalFormatting>
  <conditionalFormatting sqref="W35:W48">
    <cfRule type="cellIs" dxfId="152" priority="8617" operator="equal">
      <formula>"OK"</formula>
    </cfRule>
    <cfRule type="cellIs" dxfId="151" priority="8616" operator="equal">
      <formula>"N/A"</formula>
    </cfRule>
    <cfRule type="expression" dxfId="150" priority="8618">
      <formula>#REF!="N/A"</formula>
    </cfRule>
    <cfRule type="cellIs" dxfId="149" priority="8614" operator="equal">
      <formula>"Skip"</formula>
    </cfRule>
    <cfRule type="cellIs" dxfId="148" priority="8615" operator="equal">
      <formula>"NG"</formula>
    </cfRule>
  </conditionalFormatting>
  <conditionalFormatting sqref="W50:W54">
    <cfRule type="cellIs" dxfId="147" priority="491" operator="equal">
      <formula>"N/A"</formula>
    </cfRule>
    <cfRule type="expression" dxfId="146" priority="493">
      <formula>#REF!="N/A"</formula>
    </cfRule>
    <cfRule type="cellIs" dxfId="145" priority="492" operator="equal">
      <formula>"OK"</formula>
    </cfRule>
    <cfRule type="cellIs" dxfId="144" priority="489" operator="equal">
      <formula>"Skip"</formula>
    </cfRule>
    <cfRule type="cellIs" dxfId="143" priority="490" operator="equal">
      <formula>"NG"</formula>
    </cfRule>
  </conditionalFormatting>
  <conditionalFormatting sqref="W56:W59">
    <cfRule type="cellIs" dxfId="142" priority="429" operator="equal">
      <formula>"OK"</formula>
    </cfRule>
    <cfRule type="expression" dxfId="141" priority="430">
      <formula>#REF!="N/A"</formula>
    </cfRule>
    <cfRule type="cellIs" dxfId="140" priority="427" operator="equal">
      <formula>"NG"</formula>
    </cfRule>
    <cfRule type="cellIs" dxfId="139" priority="428" operator="equal">
      <formula>"N/A"</formula>
    </cfRule>
    <cfRule type="cellIs" dxfId="138" priority="426" operator="equal">
      <formula>"Skip"</formula>
    </cfRule>
  </conditionalFormatting>
  <conditionalFormatting sqref="X5:X62">
    <cfRule type="cellIs" dxfId="137" priority="36" operator="equal">
      <formula>"NG"</formula>
    </cfRule>
    <cfRule type="cellIs" dxfId="136" priority="34" operator="equal">
      <formula>"OK"</formula>
    </cfRule>
    <cfRule type="cellIs" dxfId="135" priority="33" operator="equal">
      <formula>"N/A"</formula>
    </cfRule>
    <cfRule type="cellIs" dxfId="134" priority="35" operator="equal">
      <formula>"Skip"</formula>
    </cfRule>
  </conditionalFormatting>
  <conditionalFormatting sqref="Z7:Z9">
    <cfRule type="cellIs" dxfId="133" priority="985" operator="equal">
      <formula>"NG"</formula>
    </cfRule>
    <cfRule type="cellIs" dxfId="132" priority="984" operator="equal">
      <formula>"Skip"</formula>
    </cfRule>
    <cfRule type="expression" dxfId="131" priority="988">
      <formula>#REF!="N/A"</formula>
    </cfRule>
    <cfRule type="cellIs" dxfId="130" priority="987" operator="equal">
      <formula>"OK"</formula>
    </cfRule>
    <cfRule type="cellIs" dxfId="129" priority="986" operator="equal">
      <formula>"N/A"</formula>
    </cfRule>
  </conditionalFormatting>
  <conditionalFormatting sqref="Z11:Z13">
    <cfRule type="cellIs" dxfId="128" priority="921" operator="equal">
      <formula>"Skip"</formula>
    </cfRule>
    <cfRule type="cellIs" dxfId="127" priority="922" operator="equal">
      <formula>"NG"</formula>
    </cfRule>
    <cfRule type="cellIs" dxfId="126" priority="923" operator="equal">
      <formula>"N/A"</formula>
    </cfRule>
    <cfRule type="cellIs" dxfId="125" priority="924" operator="equal">
      <formula>"OK"</formula>
    </cfRule>
    <cfRule type="expression" dxfId="124" priority="925">
      <formula>#REF!="N/A"</formula>
    </cfRule>
  </conditionalFormatting>
  <conditionalFormatting sqref="Z15:Z16">
    <cfRule type="cellIs" dxfId="123" priority="859" operator="equal">
      <formula>"NG"</formula>
    </cfRule>
    <cfRule type="cellIs" dxfId="122" priority="858" operator="equal">
      <formula>"Skip"</formula>
    </cfRule>
    <cfRule type="cellIs" dxfId="121" priority="860" operator="equal">
      <formula>"N/A"</formula>
    </cfRule>
    <cfRule type="cellIs" dxfId="120" priority="861" operator="equal">
      <formula>"OK"</formula>
    </cfRule>
    <cfRule type="expression" dxfId="119" priority="862">
      <formula>#REF!="N/A"</formula>
    </cfRule>
  </conditionalFormatting>
  <conditionalFormatting sqref="Z18:Z25">
    <cfRule type="cellIs" dxfId="118" priority="364" operator="equal">
      <formula>"Skip"</formula>
    </cfRule>
    <cfRule type="cellIs" dxfId="117" priority="365" operator="equal">
      <formula>"NG"</formula>
    </cfRule>
    <cfRule type="cellIs" dxfId="116" priority="366" operator="equal">
      <formula>"N/A"</formula>
    </cfRule>
    <cfRule type="cellIs" dxfId="115" priority="367" operator="equal">
      <formula>"OK"</formula>
    </cfRule>
    <cfRule type="expression" dxfId="114" priority="368">
      <formula>#REF!="N/A"</formula>
    </cfRule>
  </conditionalFormatting>
  <conditionalFormatting sqref="Z33">
    <cfRule type="expression" dxfId="113" priority="547">
      <formula>#REF!="N/A"</formula>
    </cfRule>
    <cfRule type="cellIs" dxfId="112" priority="546" operator="equal">
      <formula>"OK"</formula>
    </cfRule>
    <cfRule type="cellIs" dxfId="111" priority="545" operator="equal">
      <formula>"N/A"</formula>
    </cfRule>
    <cfRule type="cellIs" dxfId="110" priority="543" operator="equal">
      <formula>"Skip"</formula>
    </cfRule>
    <cfRule type="cellIs" dxfId="109" priority="544" operator="equal">
      <formula>"NG"</formula>
    </cfRule>
  </conditionalFormatting>
  <conditionalFormatting sqref="Z35:Z37">
    <cfRule type="cellIs" dxfId="108" priority="9238" operator="equal">
      <formula>"Skip"</formula>
    </cfRule>
    <cfRule type="cellIs" dxfId="107" priority="9239" operator="equal">
      <formula>"NG"</formula>
    </cfRule>
  </conditionalFormatting>
  <conditionalFormatting sqref="Z35:Z48">
    <cfRule type="cellIs" dxfId="106" priority="8603" operator="equal">
      <formula>"N/A"</formula>
    </cfRule>
    <cfRule type="cellIs" dxfId="105" priority="8604" operator="equal">
      <formula>"OK"</formula>
    </cfRule>
    <cfRule type="expression" dxfId="104" priority="9242">
      <formula>#REF!="N/A"</formula>
    </cfRule>
  </conditionalFormatting>
  <conditionalFormatting sqref="Z50:Z54">
    <cfRule type="cellIs" dxfId="103" priority="481" operator="equal">
      <formula>"NG"</formula>
    </cfRule>
    <cfRule type="cellIs" dxfId="102" priority="480" operator="equal">
      <formula>"Skip"</formula>
    </cfRule>
    <cfRule type="cellIs" dxfId="101" priority="482" operator="equal">
      <formula>"N/A"</formula>
    </cfRule>
    <cfRule type="cellIs" dxfId="100" priority="483" operator="equal">
      <formula>"OK"</formula>
    </cfRule>
    <cfRule type="expression" dxfId="99" priority="484">
      <formula>#REF!="N/A"</formula>
    </cfRule>
  </conditionalFormatting>
  <conditionalFormatting sqref="Z56:Z59">
    <cfRule type="cellIs" dxfId="98" priority="418" operator="equal">
      <formula>"NG"</formula>
    </cfRule>
    <cfRule type="cellIs" dxfId="97" priority="417" operator="equal">
      <formula>"Skip"</formula>
    </cfRule>
    <cfRule type="cellIs" dxfId="96" priority="419" operator="equal">
      <formula>"N/A"</formula>
    </cfRule>
    <cfRule type="cellIs" dxfId="95" priority="420" operator="equal">
      <formula>"OK"</formula>
    </cfRule>
    <cfRule type="expression" dxfId="94" priority="421">
      <formula>#REF!="N/A"</formula>
    </cfRule>
  </conditionalFormatting>
  <conditionalFormatting sqref="Z38:AA48">
    <cfRule type="cellIs" dxfId="93" priority="7520" operator="equal">
      <formula>"NG"</formula>
    </cfRule>
    <cfRule type="cellIs" dxfId="92" priority="7519" operator="equal">
      <formula>"Skip"</formula>
    </cfRule>
  </conditionalFormatting>
  <conditionalFormatting sqref="AA5:AA37">
    <cfRule type="cellIs" dxfId="91" priority="5" operator="equal">
      <formula>"Skip"</formula>
    </cfRule>
    <cfRule type="cellIs" dxfId="90" priority="6" operator="equal">
      <formula>"NG"</formula>
    </cfRule>
  </conditionalFormatting>
  <conditionalFormatting sqref="AA5:AA62">
    <cfRule type="cellIs" dxfId="89" priority="8" operator="equal">
      <formula>"OK"</formula>
    </cfRule>
    <cfRule type="cellIs" dxfId="88" priority="7" operator="equal">
      <formula>"N/A"</formula>
    </cfRule>
  </conditionalFormatting>
  <conditionalFormatting sqref="AC7:AC9">
    <cfRule type="expression" dxfId="87" priority="979">
      <formula>#REF!="N/A"</formula>
    </cfRule>
    <cfRule type="cellIs" dxfId="86" priority="976" operator="equal">
      <formula>"NG"</formula>
    </cfRule>
    <cfRule type="cellIs" dxfId="85" priority="975" operator="equal">
      <formula>"Skip"</formula>
    </cfRule>
    <cfRule type="cellIs" dxfId="84" priority="977" operator="equal">
      <formula>"N/A"</formula>
    </cfRule>
    <cfRule type="cellIs" dxfId="83" priority="978" operator="equal">
      <formula>"OK"</formula>
    </cfRule>
  </conditionalFormatting>
  <conditionalFormatting sqref="AC11:AC13">
    <cfRule type="expression" dxfId="82" priority="916">
      <formula>#REF!="N/A"</formula>
    </cfRule>
    <cfRule type="cellIs" dxfId="81" priority="915" operator="equal">
      <formula>"OK"</formula>
    </cfRule>
    <cfRule type="cellIs" dxfId="80" priority="914" operator="equal">
      <formula>"N/A"</formula>
    </cfRule>
    <cfRule type="cellIs" dxfId="79" priority="913" operator="equal">
      <formula>"NG"</formula>
    </cfRule>
    <cfRule type="cellIs" dxfId="78" priority="912" operator="equal">
      <formula>"Skip"</formula>
    </cfRule>
  </conditionalFormatting>
  <conditionalFormatting sqref="AC15:AC16">
    <cfRule type="cellIs" dxfId="77" priority="852" operator="equal">
      <formula>"OK"</formula>
    </cfRule>
    <cfRule type="expression" dxfId="76" priority="853">
      <formula>#REF!="N/A"</formula>
    </cfRule>
    <cfRule type="cellIs" dxfId="75" priority="849" operator="equal">
      <formula>"Skip"</formula>
    </cfRule>
    <cfRule type="cellIs" dxfId="74" priority="850" operator="equal">
      <formula>"NG"</formula>
    </cfRule>
    <cfRule type="cellIs" dxfId="73" priority="851" operator="equal">
      <formula>"N/A"</formula>
    </cfRule>
  </conditionalFormatting>
  <conditionalFormatting sqref="AC18:AC25">
    <cfRule type="expression" dxfId="72" priority="363">
      <formula>#REF!="N/A"</formula>
    </cfRule>
    <cfRule type="cellIs" dxfId="71" priority="362" operator="equal">
      <formula>"OK"</formula>
    </cfRule>
    <cfRule type="cellIs" dxfId="70" priority="361" operator="equal">
      <formula>"N/A"</formula>
    </cfRule>
    <cfRule type="cellIs" dxfId="69" priority="360" operator="equal">
      <formula>"NG"</formula>
    </cfRule>
    <cfRule type="cellIs" dxfId="68" priority="359" operator="equal">
      <formula>"Skip"</formula>
    </cfRule>
  </conditionalFormatting>
  <conditionalFormatting sqref="AC33">
    <cfRule type="cellIs" dxfId="67" priority="536" operator="equal">
      <formula>"N/A"</formula>
    </cfRule>
    <cfRule type="cellIs" dxfId="66" priority="537" operator="equal">
      <formula>"OK"</formula>
    </cfRule>
    <cfRule type="cellIs" dxfId="65" priority="535" operator="equal">
      <formula>"NG"</formula>
    </cfRule>
    <cfRule type="expression" dxfId="64" priority="538">
      <formula>#REF!="N/A"</formula>
    </cfRule>
    <cfRule type="cellIs" dxfId="63" priority="534" operator="equal">
      <formula>"Skip"</formula>
    </cfRule>
  </conditionalFormatting>
  <conditionalFormatting sqref="AC35:AC48">
    <cfRule type="cellIs" dxfId="62" priority="8597" operator="equal">
      <formula>"NG"</formula>
    </cfRule>
    <cfRule type="cellIs" dxfId="61" priority="8596" operator="equal">
      <formula>"Skip"</formula>
    </cfRule>
    <cfRule type="cellIs" dxfId="60" priority="8598" operator="equal">
      <formula>"N/A"</formula>
    </cfRule>
    <cfRule type="expression" dxfId="59" priority="8600">
      <formula>#REF!="N/A"</formula>
    </cfRule>
    <cfRule type="cellIs" dxfId="58" priority="8599" operator="equal">
      <formula>"OK"</formula>
    </cfRule>
  </conditionalFormatting>
  <conditionalFormatting sqref="AC50:AC54">
    <cfRule type="cellIs" dxfId="57" priority="472" operator="equal">
      <formula>"NG"</formula>
    </cfRule>
    <cfRule type="expression" dxfId="56" priority="475">
      <formula>#REF!="N/A"</formula>
    </cfRule>
    <cfRule type="cellIs" dxfId="55" priority="473" operator="equal">
      <formula>"N/A"</formula>
    </cfRule>
    <cfRule type="cellIs" dxfId="54" priority="474" operator="equal">
      <formula>"OK"</formula>
    </cfRule>
    <cfRule type="cellIs" dxfId="53" priority="471" operator="equal">
      <formula>"Skip"</formula>
    </cfRule>
  </conditionalFormatting>
  <conditionalFormatting sqref="AC56:AC59">
    <cfRule type="cellIs" dxfId="52" priority="408" operator="equal">
      <formula>"Skip"</formula>
    </cfRule>
    <cfRule type="cellIs" dxfId="51" priority="410" operator="equal">
      <formula>"N/A"</formula>
    </cfRule>
    <cfRule type="cellIs" dxfId="50" priority="411" operator="equal">
      <formula>"OK"</formula>
    </cfRule>
    <cfRule type="cellIs" dxfId="49" priority="409" operator="equal">
      <formula>"NG"</formula>
    </cfRule>
    <cfRule type="expression" dxfId="48" priority="412">
      <formula>#REF!="N/A"</formula>
    </cfRule>
  </conditionalFormatting>
  <conditionalFormatting sqref="AD5:AD62">
    <cfRule type="cellIs" dxfId="47" priority="43" operator="equal">
      <formula>"Skip"</formula>
    </cfRule>
    <cfRule type="cellIs" dxfId="46" priority="42" operator="equal">
      <formula>"OK"</formula>
    </cfRule>
    <cfRule type="cellIs" dxfId="45" priority="41" operator="equal">
      <formula>"N/A"</formula>
    </cfRule>
    <cfRule type="cellIs" dxfId="44" priority="44" operator="equal">
      <formula>"NG"</formula>
    </cfRule>
  </conditionalFormatting>
  <conditionalFormatting sqref="AF7:AF9">
    <cfRule type="expression" dxfId="43" priority="1020">
      <formula>#REF!="N/A"</formula>
    </cfRule>
    <cfRule type="cellIs" dxfId="42" priority="1019" operator="equal">
      <formula>"OK"</formula>
    </cfRule>
    <cfRule type="cellIs" dxfId="41" priority="1017" operator="equal">
      <formula>"NG"</formula>
    </cfRule>
    <cfRule type="cellIs" dxfId="40" priority="1016" operator="equal">
      <formula>"Skip"</formula>
    </cfRule>
    <cfRule type="cellIs" dxfId="39" priority="1018" operator="equal">
      <formula>"N/A"</formula>
    </cfRule>
  </conditionalFormatting>
  <conditionalFormatting sqref="AF11:AF13">
    <cfRule type="cellIs" dxfId="38" priority="955" operator="equal">
      <formula>"N/A"</formula>
    </cfRule>
    <cfRule type="cellIs" dxfId="37" priority="956" operator="equal">
      <formula>"OK"</formula>
    </cfRule>
    <cfRule type="expression" dxfId="36" priority="957">
      <formula>#REF!="N/A"</formula>
    </cfRule>
    <cfRule type="cellIs" dxfId="35" priority="954" operator="equal">
      <formula>"NG"</formula>
    </cfRule>
    <cfRule type="cellIs" dxfId="34" priority="953" operator="equal">
      <formula>"Skip"</formula>
    </cfRule>
  </conditionalFormatting>
  <conditionalFormatting sqref="AF15:AF16">
    <cfRule type="expression" dxfId="33" priority="894">
      <formula>#REF!="N/A"</formula>
    </cfRule>
    <cfRule type="cellIs" dxfId="32" priority="893" operator="equal">
      <formula>"OK"</formula>
    </cfRule>
    <cfRule type="cellIs" dxfId="31" priority="892" operator="equal">
      <formula>"N/A"</formula>
    </cfRule>
    <cfRule type="cellIs" dxfId="30" priority="891" operator="equal">
      <formula>"NG"</formula>
    </cfRule>
    <cfRule type="cellIs" dxfId="29" priority="890" operator="equal">
      <formula>"Skip"</formula>
    </cfRule>
  </conditionalFormatting>
  <conditionalFormatting sqref="AF18:AF25">
    <cfRule type="expression" dxfId="28" priority="350">
      <formula>#REF!="N/A"</formula>
    </cfRule>
    <cfRule type="cellIs" dxfId="27" priority="349" operator="equal">
      <formula>"OK"</formula>
    </cfRule>
    <cfRule type="cellIs" dxfId="26" priority="348" operator="equal">
      <formula>"N/A"</formula>
    </cfRule>
    <cfRule type="cellIs" dxfId="25" priority="347" operator="equal">
      <formula>"NG"</formula>
    </cfRule>
    <cfRule type="cellIs" dxfId="24" priority="346" operator="equal">
      <formula>"Skip"</formula>
    </cfRule>
  </conditionalFormatting>
  <conditionalFormatting sqref="AF33">
    <cfRule type="expression" dxfId="23" priority="579">
      <formula>#REF!="N/A"</formula>
    </cfRule>
    <cfRule type="cellIs" dxfId="22" priority="578" operator="equal">
      <formula>"OK"</formula>
    </cfRule>
    <cfRule type="cellIs" dxfId="21" priority="577" operator="equal">
      <formula>"N/A"</formula>
    </cfRule>
    <cfRule type="cellIs" dxfId="20" priority="575" operator="equal">
      <formula>"Skip"</formula>
    </cfRule>
    <cfRule type="cellIs" dxfId="19" priority="576" operator="equal">
      <formula>"NG"</formula>
    </cfRule>
  </conditionalFormatting>
  <conditionalFormatting sqref="AF35:AF48">
    <cfRule type="cellIs" dxfId="18" priority="22416" operator="equal">
      <formula>"OK"</formula>
    </cfRule>
    <cfRule type="cellIs" dxfId="17" priority="22415" operator="equal">
      <formula>"N/A"</formula>
    </cfRule>
    <cfRule type="cellIs" dxfId="16" priority="22414" operator="equal">
      <formula>"NG"</formula>
    </cfRule>
    <cfRule type="cellIs" dxfId="15" priority="22413" operator="equal">
      <formula>"Skip"</formula>
    </cfRule>
    <cfRule type="expression" dxfId="14" priority="22417">
      <formula>#REF!="N/A"</formula>
    </cfRule>
  </conditionalFormatting>
  <conditionalFormatting sqref="AF50:AF54">
    <cfRule type="cellIs" dxfId="13" priority="512" operator="equal">
      <formula>"Skip"</formula>
    </cfRule>
    <cfRule type="expression" dxfId="12" priority="516">
      <formula>#REF!="N/A"</formula>
    </cfRule>
    <cfRule type="cellIs" dxfId="11" priority="515" operator="equal">
      <formula>"OK"</formula>
    </cfRule>
    <cfRule type="cellIs" dxfId="10" priority="514" operator="equal">
      <formula>"N/A"</formula>
    </cfRule>
    <cfRule type="cellIs" dxfId="9" priority="513" operator="equal">
      <formula>"NG"</formula>
    </cfRule>
  </conditionalFormatting>
  <conditionalFormatting sqref="AF56:AF59">
    <cfRule type="cellIs" dxfId="8" priority="450" operator="equal">
      <formula>"NG"</formula>
    </cfRule>
    <cfRule type="expression" dxfId="7" priority="453">
      <formula>#REF!="N/A"</formula>
    </cfRule>
    <cfRule type="cellIs" dxfId="6" priority="452" operator="equal">
      <formula>"OK"</formula>
    </cfRule>
    <cfRule type="cellIs" dxfId="5" priority="451" operator="equal">
      <formula>"N/A"</formula>
    </cfRule>
    <cfRule type="cellIs" dxfId="4" priority="449" operator="equal">
      <formula>"Skip"</formula>
    </cfRule>
  </conditionalFormatting>
  <conditionalFormatting sqref="AG5:AG62">
    <cfRule type="cellIs" dxfId="3" priority="40" operator="equal">
      <formula>"NG"</formula>
    </cfRule>
    <cfRule type="cellIs" dxfId="2" priority="39" operator="equal">
      <formula>"Skip"</formula>
    </cfRule>
    <cfRule type="cellIs" dxfId="1" priority="37" operator="equal">
      <formula>"N/A"</formula>
    </cfRule>
    <cfRule type="cellIs" dxfId="0" priority="38" operator="equal">
      <formula>"OK"</formula>
    </cfRule>
  </conditionalFormatting>
  <dataValidations count="1">
    <dataValidation type="list" allowBlank="1" showInputMessage="1" showErrorMessage="1" sqref="X5:X62 AG5:AG62 AA5:AA62 AD5:AD62 U5:U62 R5:R62 O5:O62" xr:uid="{00000000-0002-0000-0400-000000000000}">
      <formula1>"OK,NG,SKIP,N/A,미실시,-"</formula1>
    </dataValidation>
  </dataValidations>
  <pageMargins left="0.7" right="0.7" top="0.75" bottom="0.75" header="0.3" footer="0.3"/>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P9"/>
  <sheetViews>
    <sheetView zoomScale="130" zoomScaleNormal="130" workbookViewId="0">
      <selection activeCell="D25" sqref="D25"/>
    </sheetView>
  </sheetViews>
  <sheetFormatPr defaultColWidth="10" defaultRowHeight="13.5"/>
  <cols>
    <col min="1" max="1" width="0.625" style="123" customWidth="1"/>
    <col min="2" max="2" width="5" style="124" customWidth="1"/>
    <col min="3" max="3" width="11.125" style="124" customWidth="1"/>
    <col min="4" max="4" width="63.125" style="125" bestFit="1" customWidth="1"/>
    <col min="5" max="5" width="15.625" style="125" bestFit="1" customWidth="1"/>
    <col min="6" max="6" width="15.875" style="124" customWidth="1"/>
    <col min="7" max="7" width="13.625" style="124" customWidth="1"/>
    <col min="8" max="8" width="11.125" style="126" customWidth="1"/>
    <col min="9" max="9" width="12.375" style="124" bestFit="1" customWidth="1"/>
    <col min="10" max="10" width="22.875" style="125" customWidth="1"/>
    <col min="11" max="16384" width="10" style="123"/>
  </cols>
  <sheetData>
    <row r="1" spans="2:16" s="108" customFormat="1" ht="26.25">
      <c r="B1" s="487" t="s">
        <v>116</v>
      </c>
      <c r="C1" s="487"/>
      <c r="D1" s="487"/>
      <c r="E1" s="129"/>
      <c r="F1" s="109"/>
      <c r="G1" s="109"/>
      <c r="H1" s="109"/>
      <c r="I1" s="109"/>
      <c r="J1" s="110"/>
      <c r="K1" s="111"/>
      <c r="L1" s="110"/>
    </row>
    <row r="2" spans="2:16" s="112" customFormat="1">
      <c r="B2" s="109"/>
      <c r="C2" s="109"/>
      <c r="D2" s="113"/>
      <c r="E2" s="113"/>
      <c r="F2" s="109"/>
      <c r="G2" s="109"/>
      <c r="H2" s="109"/>
      <c r="I2" s="109"/>
      <c r="J2" s="114"/>
      <c r="K2" s="115"/>
      <c r="L2" s="114"/>
      <c r="M2" s="109"/>
      <c r="N2" s="109"/>
      <c r="O2" s="109"/>
      <c r="P2" s="108"/>
    </row>
    <row r="3" spans="2:16" s="116" customFormat="1">
      <c r="B3" s="127" t="s">
        <v>44</v>
      </c>
      <c r="C3" s="127" t="s">
        <v>49</v>
      </c>
      <c r="D3" s="127" t="s">
        <v>113</v>
      </c>
      <c r="E3" s="127" t="s">
        <v>119</v>
      </c>
      <c r="F3" s="127" t="s">
        <v>45</v>
      </c>
      <c r="G3" s="127" t="s">
        <v>48</v>
      </c>
      <c r="H3" s="128" t="s">
        <v>46</v>
      </c>
      <c r="I3" s="127" t="s">
        <v>47</v>
      </c>
      <c r="J3" s="127" t="s">
        <v>114</v>
      </c>
    </row>
    <row r="4" spans="2:16" s="117" customFormat="1">
      <c r="B4" s="118"/>
      <c r="C4" s="119"/>
      <c r="D4" s="120"/>
      <c r="E4" s="120"/>
      <c r="F4" s="121"/>
      <c r="G4" s="119"/>
      <c r="H4" s="119"/>
      <c r="I4" s="121"/>
      <c r="J4" s="120"/>
    </row>
    <row r="5" spans="2:16" s="117" customFormat="1">
      <c r="B5" s="118"/>
      <c r="C5" s="119"/>
      <c r="D5" s="120"/>
      <c r="E5" s="120"/>
      <c r="F5" s="121"/>
      <c r="G5" s="119"/>
      <c r="H5" s="119"/>
      <c r="I5" s="121"/>
      <c r="J5" s="120"/>
    </row>
    <row r="6" spans="2:16" s="117" customFormat="1">
      <c r="B6" s="118"/>
      <c r="C6" s="119"/>
      <c r="D6" s="120"/>
      <c r="E6" s="120"/>
      <c r="F6" s="121"/>
      <c r="G6" s="119"/>
      <c r="H6" s="119"/>
      <c r="I6" s="122"/>
      <c r="J6" s="120"/>
    </row>
    <row r="7" spans="2:16" s="117" customFormat="1">
      <c r="B7" s="118"/>
      <c r="C7" s="119"/>
      <c r="D7" s="120"/>
      <c r="E7" s="120"/>
      <c r="F7" s="121"/>
      <c r="G7" s="119"/>
      <c r="H7" s="119"/>
      <c r="I7" s="121"/>
      <c r="J7" s="120"/>
    </row>
    <row r="8" spans="2:16" s="117" customFormat="1">
      <c r="B8" s="118"/>
      <c r="C8" s="119"/>
      <c r="D8" s="120"/>
      <c r="E8" s="120"/>
      <c r="F8" s="121"/>
      <c r="G8" s="119"/>
      <c r="H8" s="119"/>
      <c r="I8" s="121"/>
      <c r="J8" s="120"/>
    </row>
    <row r="9" spans="2:16" s="117" customFormat="1">
      <c r="B9" s="118"/>
      <c r="C9" s="119"/>
      <c r="D9" s="120"/>
      <c r="E9" s="120"/>
      <c r="F9" s="121"/>
      <c r="G9" s="119"/>
      <c r="H9" s="119"/>
      <c r="I9" s="121"/>
      <c r="J9" s="120"/>
    </row>
  </sheetData>
  <mergeCells count="1">
    <mergeCell ref="B1:D1"/>
  </mergeCells>
  <phoneticPr fontId="1" type="noConversion"/>
  <dataValidations count="1">
    <dataValidation type="list" allowBlank="1" showInputMessage="1" showErrorMessage="1" sqref="F4:F23" xr:uid="{00000000-0002-0000-0500-000000000000}">
      <formula1>"등록,협의중,협의완료,처리중,처리완료,취소"</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표지</vt:lpstr>
      <vt:lpstr>개정이력</vt:lpstr>
      <vt:lpstr>Test 결과 종합</vt:lpstr>
      <vt:lpstr>01) 메세지 테스트</vt:lpstr>
      <vt:lpstr>02) 시나리오 테스트</vt:lpstr>
      <vt:lpstr>03) Open 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김시원</dc:creator>
  <cp:lastModifiedBy>준석 배</cp:lastModifiedBy>
  <dcterms:created xsi:type="dcterms:W3CDTF">2020-09-03T02:29:26Z</dcterms:created>
  <dcterms:modified xsi:type="dcterms:W3CDTF">2026-05-26T03:29:19Z</dcterms:modified>
</cp:coreProperties>
</file>